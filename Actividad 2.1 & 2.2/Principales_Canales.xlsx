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Documentos\Tec de Monterrey\2026 Semestre B_Tercio _1\Plataformas de analítica de negocios para organizaciones\"/>
    </mc:Choice>
  </mc:AlternateContent>
  <xr:revisionPtr revIDLastSave="0" documentId="13_ncr:1_{4CA26D62-7448-4334-93F2-8D45FF62401E}" xr6:coauthVersionLast="47" xr6:coauthVersionMax="47" xr10:uidLastSave="{00000000-0000-0000-0000-000000000000}"/>
  <bookViews>
    <workbookView xWindow="-120" yWindow="-120" windowWidth="20730" windowHeight="11040" xr2:uid="{1529C3B5-6424-4C85-A79D-11C2BB4DACF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8" i="1" l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G57" i="1"/>
  <c r="E57" i="1"/>
  <c r="Y55" i="1"/>
  <c r="AI43" i="1"/>
  <c r="AH43" i="1"/>
  <c r="AG43" i="1"/>
  <c r="X43" i="1"/>
  <c r="X59" i="1" s="1"/>
  <c r="AE42" i="1"/>
  <c r="AD42" i="1"/>
  <c r="AH35" i="1" s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G35" i="1" s="1"/>
  <c r="E42" i="1"/>
  <c r="D42" i="1"/>
  <c r="C42" i="1"/>
  <c r="B42" i="1"/>
  <c r="AI35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AI30" i="1"/>
  <c r="AH30" i="1"/>
  <c r="AG30" i="1"/>
  <c r="AA30" i="1"/>
  <c r="X30" i="1"/>
  <c r="AE29" i="1"/>
  <c r="AD29" i="1"/>
  <c r="AC29" i="1"/>
  <c r="AB29" i="1"/>
  <c r="AA29" i="1"/>
  <c r="Z29" i="1"/>
  <c r="Y29" i="1"/>
  <c r="AI20" i="1" s="1"/>
  <c r="X29" i="1"/>
  <c r="W29" i="1"/>
  <c r="V29" i="1"/>
  <c r="U29" i="1"/>
  <c r="T29" i="1"/>
  <c r="S29" i="1"/>
  <c r="R29" i="1"/>
  <c r="Q29" i="1"/>
  <c r="P29" i="1"/>
  <c r="O29" i="1"/>
  <c r="N29" i="1"/>
  <c r="AG20" i="1" s="1"/>
  <c r="M29" i="1"/>
  <c r="L29" i="1"/>
  <c r="K29" i="1"/>
  <c r="J29" i="1"/>
  <c r="I29" i="1"/>
  <c r="H29" i="1"/>
  <c r="G29" i="1"/>
  <c r="F29" i="1"/>
  <c r="O31" i="1" s="1"/>
  <c r="E29" i="1"/>
  <c r="D29" i="1"/>
  <c r="C29" i="1"/>
  <c r="B29" i="1"/>
  <c r="AD27" i="1"/>
  <c r="AC27" i="1"/>
  <c r="AB27" i="1"/>
  <c r="AA27" i="1"/>
  <c r="Z27" i="1"/>
  <c r="Y27" i="1"/>
  <c r="AE25" i="1"/>
  <c r="AD25" i="1"/>
  <c r="AC25" i="1"/>
  <c r="AB25" i="1"/>
  <c r="AA25" i="1"/>
  <c r="Z25" i="1"/>
  <c r="Y25" i="1"/>
  <c r="X25" i="1"/>
  <c r="AB19" i="1"/>
  <c r="AB34" i="1" s="1"/>
  <c r="AA19" i="1"/>
  <c r="AA34" i="1" s="1"/>
  <c r="Z19" i="1"/>
  <c r="Z34" i="1" s="1"/>
  <c r="Y19" i="1"/>
  <c r="Y34" i="1" s="1"/>
  <c r="X19" i="1"/>
  <c r="X34" i="1" s="1"/>
  <c r="W19" i="1"/>
  <c r="W34" i="1" s="1"/>
  <c r="V19" i="1"/>
  <c r="V34" i="1" s="1"/>
  <c r="U19" i="1"/>
  <c r="U34" i="1" s="1"/>
  <c r="T19" i="1"/>
  <c r="T34" i="1" s="1"/>
  <c r="S19" i="1"/>
  <c r="S34" i="1" s="1"/>
  <c r="R19" i="1"/>
  <c r="R34" i="1" s="1"/>
  <c r="Q19" i="1"/>
  <c r="Q34" i="1" s="1"/>
  <c r="P19" i="1"/>
  <c r="P34" i="1" s="1"/>
  <c r="O19" i="1"/>
  <c r="O34" i="1" s="1"/>
  <c r="N19" i="1"/>
  <c r="N34" i="1" s="1"/>
  <c r="M19" i="1"/>
  <c r="M34" i="1" s="1"/>
  <c r="L19" i="1"/>
  <c r="L34" i="1" s="1"/>
  <c r="K19" i="1"/>
  <c r="K34" i="1" s="1"/>
  <c r="J19" i="1"/>
  <c r="J34" i="1" s="1"/>
  <c r="I19" i="1"/>
  <c r="I34" i="1" s="1"/>
  <c r="H19" i="1"/>
  <c r="H34" i="1" s="1"/>
  <c r="G19" i="1"/>
  <c r="G34" i="1" s="1"/>
  <c r="F19" i="1"/>
  <c r="F34" i="1" s="1"/>
  <c r="E19" i="1"/>
  <c r="E34" i="1" s="1"/>
  <c r="D19" i="1"/>
  <c r="D34" i="1" s="1"/>
  <c r="C19" i="1"/>
  <c r="C34" i="1" s="1"/>
  <c r="B19" i="1"/>
  <c r="B34" i="1" s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I15" i="1"/>
  <c r="AH15" i="1"/>
  <c r="AG15" i="1"/>
  <c r="AA15" i="1"/>
  <c r="Y15" i="1"/>
  <c r="X15" i="1"/>
  <c r="H15" i="1"/>
  <c r="F15" i="1"/>
  <c r="AE14" i="1"/>
  <c r="AD14" i="1"/>
  <c r="AC14" i="1"/>
  <c r="AB14" i="1"/>
  <c r="AA14" i="1"/>
  <c r="Z14" i="1"/>
  <c r="Y14" i="1"/>
  <c r="AH7" i="1" s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G7" i="1" s="1"/>
  <c r="E14" i="1"/>
  <c r="D14" i="1"/>
  <c r="C14" i="1"/>
  <c r="B14" i="1"/>
  <c r="T12" i="1"/>
  <c r="R12" i="1"/>
  <c r="AA11" i="1"/>
  <c r="AA12" i="1" s="1"/>
  <c r="Z11" i="1"/>
  <c r="Z12" i="1" s="1"/>
  <c r="Y11" i="1"/>
  <c r="Y12" i="1" s="1"/>
  <c r="X11" i="1"/>
  <c r="X12" i="1" s="1"/>
  <c r="W11" i="1"/>
  <c r="W12" i="1" s="1"/>
  <c r="V11" i="1"/>
  <c r="V12" i="1" s="1"/>
  <c r="T11" i="1"/>
  <c r="S11" i="1"/>
  <c r="S12" i="1" s="1"/>
  <c r="R11" i="1"/>
  <c r="O11" i="1"/>
  <c r="O12" i="1" s="1"/>
  <c r="N11" i="1"/>
  <c r="N12" i="1" s="1"/>
  <c r="M11" i="1"/>
  <c r="M12" i="1" s="1"/>
  <c r="AB8" i="1"/>
  <c r="AA8" i="1"/>
  <c r="Z8" i="1"/>
  <c r="Y8" i="1"/>
  <c r="X8" i="1"/>
  <c r="W8" i="1"/>
  <c r="V8" i="1"/>
  <c r="U8" i="1"/>
  <c r="U11" i="1" s="1"/>
  <c r="U12" i="1" s="1"/>
  <c r="T8" i="1"/>
  <c r="S8" i="1"/>
  <c r="R8" i="1"/>
  <c r="Q8" i="1"/>
  <c r="P8" i="1"/>
  <c r="O8" i="1"/>
  <c r="N8" i="1"/>
  <c r="M8" i="1"/>
  <c r="AI7" i="1"/>
  <c r="AE4" i="1"/>
  <c r="AE43" i="1" s="1"/>
  <c r="AD4" i="1"/>
  <c r="AD43" i="1" s="1"/>
  <c r="AC4" i="1"/>
  <c r="AC43" i="1" s="1"/>
  <c r="AB4" i="1"/>
  <c r="AB43" i="1" s="1"/>
  <c r="AA4" i="1"/>
  <c r="AA43" i="1" s="1"/>
  <c r="Z4" i="1"/>
  <c r="Z30" i="1" s="1"/>
  <c r="Y4" i="1"/>
  <c r="Y56" i="1" s="1"/>
  <c r="W4" i="1"/>
  <c r="W43" i="1" s="1"/>
  <c r="V4" i="1"/>
  <c r="V43" i="1" s="1"/>
  <c r="U4" i="1"/>
  <c r="U43" i="1" s="1"/>
  <c r="T4" i="1"/>
  <c r="T43" i="1" s="1"/>
  <c r="S4" i="1"/>
  <c r="S30" i="1" s="1"/>
  <c r="R4" i="1"/>
  <c r="R43" i="1" s="1"/>
  <c r="Q4" i="1"/>
  <c r="Q15" i="1" s="1"/>
  <c r="P4" i="1"/>
  <c r="P43" i="1" s="1"/>
  <c r="O4" i="1"/>
  <c r="O43" i="1" s="1"/>
  <c r="N4" i="1"/>
  <c r="N43" i="1" s="1"/>
  <c r="M4" i="1"/>
  <c r="M43" i="1" s="1"/>
  <c r="L4" i="1"/>
  <c r="L43" i="1" s="1"/>
  <c r="K4" i="1"/>
  <c r="K30" i="1" s="1"/>
  <c r="J4" i="1"/>
  <c r="J43" i="1" s="1"/>
  <c r="I4" i="1"/>
  <c r="I15" i="1" s="1"/>
  <c r="H4" i="1"/>
  <c r="H43" i="1" s="1"/>
  <c r="G4" i="1"/>
  <c r="G43" i="1" s="1"/>
  <c r="F4" i="1"/>
  <c r="F43" i="1" s="1"/>
  <c r="E4" i="1"/>
  <c r="E43" i="1" s="1"/>
  <c r="D4" i="1"/>
  <c r="D43" i="1" s="1"/>
  <c r="C4" i="1"/>
  <c r="C30" i="1" s="1"/>
  <c r="B4" i="1"/>
  <c r="B30" i="1" s="1"/>
  <c r="H59" i="1" l="1"/>
  <c r="P59" i="1"/>
  <c r="J15" i="1"/>
  <c r="J59" i="1" s="1"/>
  <c r="AD15" i="1"/>
  <c r="N15" i="1"/>
  <c r="H30" i="1"/>
  <c r="P15" i="1"/>
  <c r="J30" i="1"/>
  <c r="R59" i="1"/>
  <c r="AA59" i="1"/>
  <c r="R15" i="1"/>
  <c r="P30" i="1"/>
  <c r="V15" i="1"/>
  <c r="R30" i="1"/>
  <c r="B15" i="1"/>
  <c r="AI39" i="1"/>
  <c r="L59" i="1"/>
  <c r="Z15" i="1"/>
  <c r="D30" i="1"/>
  <c r="L30" i="1"/>
  <c r="T30" i="1"/>
  <c r="T59" i="1" s="1"/>
  <c r="AB30" i="1"/>
  <c r="I43" i="1"/>
  <c r="I59" i="1" s="1"/>
  <c r="Q43" i="1"/>
  <c r="Q59" i="1" s="1"/>
  <c r="Y43" i="1"/>
  <c r="C15" i="1"/>
  <c r="K15" i="1"/>
  <c r="S15" i="1"/>
  <c r="O16" i="1"/>
  <c r="E30" i="1"/>
  <c r="M30" i="1"/>
  <c r="AG24" i="1" s="1"/>
  <c r="U30" i="1"/>
  <c r="U59" i="1" s="1"/>
  <c r="AC30" i="1"/>
  <c r="B43" i="1"/>
  <c r="Z43" i="1"/>
  <c r="Z59" i="1" s="1"/>
  <c r="D15" i="1"/>
  <c r="L15" i="1"/>
  <c r="T15" i="1"/>
  <c r="AB15" i="1"/>
  <c r="F30" i="1"/>
  <c r="F59" i="1" s="1"/>
  <c r="N30" i="1"/>
  <c r="V30" i="1"/>
  <c r="V59" i="1" s="1"/>
  <c r="AD30" i="1"/>
  <c r="AD59" i="1" s="1"/>
  <c r="C43" i="1"/>
  <c r="K43" i="1"/>
  <c r="S43" i="1"/>
  <c r="S59" i="1" s="1"/>
  <c r="O44" i="1"/>
  <c r="E15" i="1"/>
  <c r="M15" i="1"/>
  <c r="U15" i="1"/>
  <c r="AC15" i="1"/>
  <c r="G30" i="1"/>
  <c r="O30" i="1"/>
  <c r="O59" i="1" s="1"/>
  <c r="W30" i="1"/>
  <c r="W59" i="1" s="1"/>
  <c r="AE30" i="1"/>
  <c r="G15" i="1"/>
  <c r="O15" i="1"/>
  <c r="W15" i="1"/>
  <c r="AE15" i="1"/>
  <c r="AH20" i="1"/>
  <c r="I30" i="1"/>
  <c r="Q30" i="1"/>
  <c r="Y30" i="1"/>
  <c r="Q16" i="1" l="1"/>
  <c r="D59" i="1"/>
  <c r="E59" i="1"/>
  <c r="AB59" i="1"/>
  <c r="M59" i="1"/>
  <c r="B59" i="1"/>
  <c r="N59" i="1"/>
  <c r="AC59" i="1"/>
  <c r="AI11" i="1"/>
  <c r="AH11" i="1"/>
  <c r="Y59" i="1"/>
  <c r="AH39" i="1"/>
  <c r="AG11" i="1"/>
  <c r="Q44" i="1"/>
  <c r="AG39" i="1"/>
  <c r="K59" i="1"/>
  <c r="AI24" i="1"/>
  <c r="AH24" i="1"/>
  <c r="Q31" i="1"/>
  <c r="C59" i="1"/>
  <c r="G59" i="1"/>
</calcChain>
</file>

<file path=xl/sharedStrings.xml><?xml version="1.0" encoding="utf-8"?>
<sst xmlns="http://schemas.openxmlformats.org/spreadsheetml/2006/main" count="398" uniqueCount="83">
  <si>
    <t>Datos erroneos no confiables de Sale-U</t>
  </si>
  <si>
    <t>-</t>
  </si>
  <si>
    <t>Sin datos</t>
  </si>
  <si>
    <t xml:space="preserve">Ventas X Mes </t>
  </si>
  <si>
    <t>Piso</t>
  </si>
  <si>
    <t>Conversion</t>
  </si>
  <si>
    <t xml:space="preserve">Piso </t>
  </si>
  <si>
    <t>Febrero, 24</t>
  </si>
  <si>
    <t>Marzo, 24</t>
  </si>
  <si>
    <t>Abril, 24</t>
  </si>
  <si>
    <t>Mayo, 24</t>
  </si>
  <si>
    <t>Junio, 24</t>
  </si>
  <si>
    <t>Julio, 24</t>
  </si>
  <si>
    <t>Agosto, 24</t>
  </si>
  <si>
    <t>Septiembre, 24</t>
  </si>
  <si>
    <t>Octubre, 24</t>
  </si>
  <si>
    <t>Noviembre, 24</t>
  </si>
  <si>
    <t>Diciembre, 24</t>
  </si>
  <si>
    <t>Enero, 25</t>
  </si>
  <si>
    <t>Febrero, 25</t>
  </si>
  <si>
    <t>Marzo, 25</t>
  </si>
  <si>
    <t>Abril, 25</t>
  </si>
  <si>
    <t>Mayo, 25</t>
  </si>
  <si>
    <t>Junio, 25</t>
  </si>
  <si>
    <t>Julio, 25</t>
  </si>
  <si>
    <t>Agosto, 25</t>
  </si>
  <si>
    <t>Septiembre, 25</t>
  </si>
  <si>
    <t>Octubre, 25</t>
  </si>
  <si>
    <t>Noviembre, 25</t>
  </si>
  <si>
    <t>Diciembre, 25</t>
  </si>
  <si>
    <t>Enero, 26</t>
  </si>
  <si>
    <t>Febrero, 26</t>
  </si>
  <si>
    <t>Marzo, 26</t>
  </si>
  <si>
    <t>Abril, 26</t>
  </si>
  <si>
    <t>Mayo, 26</t>
  </si>
  <si>
    <t>Junio, 26</t>
  </si>
  <si>
    <t>Julio,26</t>
  </si>
  <si>
    <t>Historica</t>
  </si>
  <si>
    <t xml:space="preserve">Año actual </t>
  </si>
  <si>
    <t xml:space="preserve">Ultimos 3 meses </t>
  </si>
  <si>
    <t xml:space="preserve">Leads </t>
  </si>
  <si>
    <t xml:space="preserve">Efectivos </t>
  </si>
  <si>
    <t xml:space="preserve">SDC </t>
  </si>
  <si>
    <t>Aporte</t>
  </si>
  <si>
    <t xml:space="preserve">PDM </t>
  </si>
  <si>
    <t xml:space="preserve">Citas Programadas </t>
  </si>
  <si>
    <t xml:space="preserve">Citas Efectivas </t>
  </si>
  <si>
    <t xml:space="preserve">Ventas </t>
  </si>
  <si>
    <t>Cota (Ventas) Ultimos 6ms</t>
  </si>
  <si>
    <t xml:space="preserve">Conversion </t>
  </si>
  <si>
    <t xml:space="preserve">Minima </t>
  </si>
  <si>
    <t xml:space="preserve">Optima </t>
  </si>
  <si>
    <t xml:space="preserve">Maxima </t>
  </si>
  <si>
    <t xml:space="preserve">Aporte </t>
  </si>
  <si>
    <t xml:space="preserve">Promedio  conversion Historico </t>
  </si>
  <si>
    <t>Promedio Aporte Historico</t>
  </si>
  <si>
    <t>* Suma de todas las Plazas Angelopolis + Plaza Tlax y Pachuca,</t>
  </si>
  <si>
    <t>Plazas</t>
  </si>
  <si>
    <t xml:space="preserve">Plazas </t>
  </si>
  <si>
    <t xml:space="preserve">        * Suma de todos los canales digitales </t>
  </si>
  <si>
    <t xml:space="preserve">Digital </t>
  </si>
  <si>
    <t>Citas Programadas</t>
  </si>
  <si>
    <t>Cota (Ventas) Ultimo Semestre</t>
  </si>
  <si>
    <t xml:space="preserve">Canal </t>
  </si>
  <si>
    <t>Febrero</t>
  </si>
  <si>
    <t>Marzo</t>
  </si>
  <si>
    <t>Abril</t>
  </si>
  <si>
    <t>Mayo</t>
  </si>
  <si>
    <t>Junio</t>
  </si>
  <si>
    <t xml:space="preserve">Julio </t>
  </si>
  <si>
    <t>Agosto</t>
  </si>
  <si>
    <t>Septiembre</t>
  </si>
  <si>
    <t>Octubre</t>
  </si>
  <si>
    <t>Noviembre</t>
  </si>
  <si>
    <t>Diciembre</t>
  </si>
  <si>
    <t>Enero</t>
  </si>
  <si>
    <t xml:space="preserve">Abril </t>
  </si>
  <si>
    <t xml:space="preserve">Junio </t>
  </si>
  <si>
    <t>Julio</t>
  </si>
  <si>
    <t xml:space="preserve">Noviembre </t>
  </si>
  <si>
    <t xml:space="preserve">Enero </t>
  </si>
  <si>
    <t>Aporte Otros</t>
  </si>
  <si>
    <t>* Cartera /  Casa / Eventos / Prospecciòn / Estrategicas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</si>
</sst>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0"/>
      <name val="Aptos Narrow"/>
      <family val="2"/>
    </font>
    <font>
      <sz val="11"/>
      <color rgb="FFFFFFFF"/>
      <name val="Aptos Narrow"/>
      <family val="2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1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2" borderId="0" xfId="0" applyNumberFormat="1" applyFont="1" applyFill="1"/>
    <xf numFmtId="1" fontId="0" fillId="0" borderId="0" xfId="0" applyNumberFormat="1" applyAlignment="1">
      <alignment horizontal="center"/>
    </xf>
    <xf numFmtId="9" fontId="0" fillId="0" borderId="0" xfId="0" applyNumberFormat="1"/>
    <xf numFmtId="9" fontId="8" fillId="0" borderId="0" xfId="0" applyNumberFormat="1" applyFont="1" applyAlignment="1">
      <alignment horizontal="center" wrapText="1"/>
    </xf>
    <xf numFmtId="10" fontId="0" fillId="0" borderId="2" xfId="0" applyNumberFormat="1" applyBorder="1" applyAlignment="1">
      <alignment horizontal="center" vertical="center"/>
    </xf>
    <xf numFmtId="10" fontId="0" fillId="0" borderId="0" xfId="0" applyNumberFormat="1"/>
    <xf numFmtId="164" fontId="0" fillId="0" borderId="0" xfId="0" applyNumberFormat="1" applyAlignment="1">
      <alignment wrapText="1"/>
    </xf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0" fillId="2" borderId="0" xfId="0" applyFill="1"/>
    <xf numFmtId="9" fontId="0" fillId="0" borderId="2" xfId="0" applyNumberForma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3" xfId="0" applyBorder="1"/>
    <xf numFmtId="10" fontId="0" fillId="2" borderId="4" xfId="0" applyNumberFormat="1" applyFill="1" applyBorder="1"/>
    <xf numFmtId="10" fontId="0" fillId="0" borderId="4" xfId="0" applyNumberFormat="1" applyBorder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fre\OneDrive\Documentos\Tec%20de%20Monterrey\2026%20Semestre%20B_Tercio%20_1\Plataformas%20de%20anal&#237;tica%20de%20negocios%20para%20organizaciones\Copia%20de%20Analisis%20GAC%20Full_1.xlsx" TargetMode="External"/><Relationship Id="rId1" Type="http://schemas.openxmlformats.org/officeDocument/2006/relationships/externalLinkPath" Target="Copia%20de%20Analisis%20GAC%20Full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Canales"/>
      <sheetName val="Principales Canales"/>
      <sheetName val="Ventas por Asesor "/>
      <sheetName val="Ventas"/>
      <sheetName val="Solicitudes"/>
      <sheetName val="PDM"/>
      <sheetName val="APV "/>
      <sheetName val="Std Leads "/>
      <sheetName val="SDC "/>
      <sheetName val="Funnel Historico"/>
      <sheetName val="Marketing"/>
      <sheetName val="Leads por Canal"/>
      <sheetName val="Funnel"/>
      <sheetName val="Postventa"/>
      <sheetName val="CPL FACEBOOK"/>
      <sheetName val="UB x Unidad"/>
      <sheetName val="LIKES"/>
      <sheetName val="Bitacora de Piso"/>
      <sheetName val="Leads Reales"/>
      <sheetName val="Citas Digital"/>
      <sheetName val="Conversaciones por Asesor"/>
      <sheetName val="Plazas"/>
      <sheetName val="RDO Digital "/>
      <sheetName val="Reporte de Piso"/>
      <sheetName val="SDC Desglose"/>
      <sheetName val="Piso"/>
      <sheetName val="Base de Leads"/>
      <sheetName val="Analisis de Piso "/>
      <sheetName val="Líneas telefónicas"/>
      <sheetName val="Base de Tlaxcala"/>
      <sheetName val="Bitacora de Entregas"/>
      <sheetName val="Posventa"/>
      <sheetName val=" BCS"/>
      <sheetName val="TOPS VENTAS"/>
      <sheetName val="TOPS TDH"/>
      <sheetName val="TOPS MKT"/>
      <sheetName val="TOPS POST VENTA"/>
      <sheetName val="MKT Digital "/>
    </sheetNames>
    <sheetDataSet>
      <sheetData sheetId="0">
        <row r="6">
          <cell r="E6" t="str">
            <v>Ventas Reportadas</v>
          </cell>
        </row>
        <row r="7">
          <cell r="E7">
            <v>12</v>
          </cell>
        </row>
        <row r="8">
          <cell r="E8">
            <v>7</v>
          </cell>
        </row>
        <row r="9">
          <cell r="E9">
            <v>8</v>
          </cell>
        </row>
        <row r="10">
          <cell r="E10">
            <v>13</v>
          </cell>
        </row>
        <row r="11">
          <cell r="E11">
            <v>6</v>
          </cell>
        </row>
        <row r="12">
          <cell r="E12">
            <v>21</v>
          </cell>
        </row>
        <row r="13">
          <cell r="E13">
            <v>17</v>
          </cell>
        </row>
        <row r="14">
          <cell r="E14">
            <v>17</v>
          </cell>
        </row>
        <row r="15">
          <cell r="E15">
            <v>23</v>
          </cell>
        </row>
        <row r="16">
          <cell r="E16">
            <v>22</v>
          </cell>
        </row>
        <row r="17">
          <cell r="E17">
            <v>32</v>
          </cell>
        </row>
        <row r="18">
          <cell r="E18">
            <v>26</v>
          </cell>
        </row>
        <row r="19">
          <cell r="E19">
            <v>20</v>
          </cell>
        </row>
        <row r="20">
          <cell r="E20">
            <v>30</v>
          </cell>
        </row>
        <row r="21">
          <cell r="E21">
            <v>30</v>
          </cell>
        </row>
        <row r="22">
          <cell r="E22">
            <v>34</v>
          </cell>
        </row>
        <row r="23">
          <cell r="E23">
            <v>40</v>
          </cell>
        </row>
        <row r="24">
          <cell r="E24">
            <v>36</v>
          </cell>
        </row>
        <row r="25">
          <cell r="E25">
            <v>27</v>
          </cell>
        </row>
        <row r="26">
          <cell r="E26">
            <v>38</v>
          </cell>
        </row>
        <row r="27">
          <cell r="G27">
            <v>40</v>
          </cell>
        </row>
        <row r="29">
          <cell r="G29">
            <v>34</v>
          </cell>
        </row>
        <row r="30">
          <cell r="G30">
            <v>38</v>
          </cell>
        </row>
        <row r="31">
          <cell r="G31">
            <v>30</v>
          </cell>
        </row>
        <row r="32">
          <cell r="G32">
            <v>41</v>
          </cell>
        </row>
        <row r="33">
          <cell r="G33">
            <v>41</v>
          </cell>
        </row>
        <row r="34">
          <cell r="G34">
            <v>35</v>
          </cell>
        </row>
        <row r="35">
          <cell r="G35">
            <v>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F840-EA07-4B08-8E3A-D298C465BE4A}">
  <dimension ref="A2:AI59"/>
  <sheetViews>
    <sheetView tabSelected="1" workbookViewId="0">
      <selection activeCell="AJ12" sqref="AJ12"/>
    </sheetView>
  </sheetViews>
  <sheetFormatPr baseColWidth="10" defaultRowHeight="15" x14ac:dyDescent="0.25"/>
  <sheetData>
    <row r="2" spans="1:35" x14ac:dyDescent="0.25">
      <c r="C2" s="1"/>
      <c r="D2" s="43" t="s">
        <v>0</v>
      </c>
      <c r="E2" s="43"/>
      <c r="F2" s="43"/>
      <c r="G2" s="43"/>
      <c r="H2" s="3" t="s">
        <v>1</v>
      </c>
      <c r="I2" t="s">
        <v>2</v>
      </c>
    </row>
    <row r="3" spans="1:35" ht="15.75" thickBot="1" x14ac:dyDescent="0.3">
      <c r="C3" s="4"/>
      <c r="D3" s="2"/>
      <c r="E3" s="2"/>
      <c r="F3" s="2"/>
      <c r="G3" s="2"/>
    </row>
    <row r="4" spans="1:35" ht="15.75" thickBot="1" x14ac:dyDescent="0.3">
      <c r="A4" s="5" t="s">
        <v>3</v>
      </c>
      <c r="B4" s="6" t="str">
        <f>[1]Resumen!E6</f>
        <v>Ventas Reportadas</v>
      </c>
      <c r="C4" s="6">
        <f>[1]Resumen!$E7</f>
        <v>12</v>
      </c>
      <c r="D4" s="6">
        <f>[1]Resumen!$E8</f>
        <v>7</v>
      </c>
      <c r="E4" s="6">
        <f>[1]Resumen!$E9</f>
        <v>8</v>
      </c>
      <c r="F4" s="6">
        <f>[1]Resumen!$E10</f>
        <v>13</v>
      </c>
      <c r="G4" s="6">
        <f>[1]Resumen!$E11</f>
        <v>6</v>
      </c>
      <c r="H4" s="6">
        <f>[1]Resumen!$E12</f>
        <v>21</v>
      </c>
      <c r="I4" s="6">
        <f>[1]Resumen!$E13</f>
        <v>17</v>
      </c>
      <c r="J4" s="6">
        <f>[1]Resumen!$E14</f>
        <v>17</v>
      </c>
      <c r="K4" s="6">
        <f>[1]Resumen!$E15</f>
        <v>23</v>
      </c>
      <c r="L4" s="6">
        <f>[1]Resumen!$E16</f>
        <v>22</v>
      </c>
      <c r="M4" s="6">
        <f>[1]Resumen!$E17</f>
        <v>32</v>
      </c>
      <c r="N4" s="6">
        <f>[1]Resumen!$E18</f>
        <v>26</v>
      </c>
      <c r="O4" s="6">
        <f>[1]Resumen!$E19</f>
        <v>20</v>
      </c>
      <c r="P4" s="6">
        <f>[1]Resumen!$E20</f>
        <v>30</v>
      </c>
      <c r="Q4" s="6">
        <f>[1]Resumen!$E21</f>
        <v>30</v>
      </c>
      <c r="R4" s="6">
        <f>[1]Resumen!$E22</f>
        <v>34</v>
      </c>
      <c r="S4" s="6">
        <f>[1]Resumen!E23</f>
        <v>40</v>
      </c>
      <c r="T4" s="6">
        <f>[1]Resumen!E24</f>
        <v>36</v>
      </c>
      <c r="U4" s="6">
        <f>[1]Resumen!E25</f>
        <v>27</v>
      </c>
      <c r="V4" s="6">
        <f>[1]Resumen!E26</f>
        <v>38</v>
      </c>
      <c r="W4" s="6">
        <f>[1]Resumen!G27</f>
        <v>40</v>
      </c>
      <c r="X4" s="6">
        <v>34</v>
      </c>
      <c r="Y4" s="6">
        <f>[1]Resumen!G29</f>
        <v>34</v>
      </c>
      <c r="Z4" s="6">
        <f>[1]Resumen!G30</f>
        <v>38</v>
      </c>
      <c r="AA4" s="6">
        <f>[1]Resumen!G31</f>
        <v>30</v>
      </c>
      <c r="AB4" s="6">
        <f>[1]Resumen!G32</f>
        <v>41</v>
      </c>
      <c r="AC4" s="6">
        <f>[1]Resumen!G33</f>
        <v>41</v>
      </c>
      <c r="AD4" s="6">
        <f>[1]Resumen!G34</f>
        <v>35</v>
      </c>
      <c r="AE4" s="6">
        <f>[1]Resumen!G35</f>
        <v>37</v>
      </c>
      <c r="AI4" s="7"/>
    </row>
    <row r="5" spans="1:35" x14ac:dyDescent="0.25">
      <c r="A5" s="40" t="s">
        <v>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8"/>
      <c r="AD5" s="8"/>
      <c r="AE5" s="8"/>
      <c r="AG5" s="40" t="s">
        <v>5</v>
      </c>
      <c r="AH5" s="40"/>
      <c r="AI5" s="40"/>
    </row>
    <row r="6" spans="1:35" ht="30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G6" s="9" t="s">
        <v>37</v>
      </c>
      <c r="AH6" s="9" t="s">
        <v>38</v>
      </c>
      <c r="AI6" s="9" t="s">
        <v>39</v>
      </c>
    </row>
    <row r="7" spans="1:35" x14ac:dyDescent="0.25">
      <c r="A7" t="s">
        <v>40</v>
      </c>
      <c r="B7" s="10">
        <v>329</v>
      </c>
      <c r="C7" s="10">
        <v>19</v>
      </c>
      <c r="D7" s="10">
        <v>76</v>
      </c>
      <c r="E7" s="10">
        <v>87</v>
      </c>
      <c r="F7" s="10">
        <v>55</v>
      </c>
      <c r="G7" s="10">
        <v>92</v>
      </c>
      <c r="H7" s="10">
        <v>77</v>
      </c>
      <c r="I7" s="10">
        <v>57</v>
      </c>
      <c r="J7" s="10">
        <v>43</v>
      </c>
      <c r="K7" s="10">
        <v>50</v>
      </c>
      <c r="L7" s="10">
        <v>64</v>
      </c>
      <c r="M7" s="10">
        <v>71</v>
      </c>
      <c r="N7" s="10">
        <v>64</v>
      </c>
      <c r="O7" s="10">
        <v>80</v>
      </c>
      <c r="P7" s="10">
        <v>43</v>
      </c>
      <c r="Q7" s="10">
        <v>65</v>
      </c>
      <c r="R7" s="10">
        <v>59</v>
      </c>
      <c r="S7" s="10">
        <v>63</v>
      </c>
      <c r="T7">
        <v>71</v>
      </c>
      <c r="U7" s="11">
        <v>58</v>
      </c>
      <c r="V7" s="11">
        <v>72</v>
      </c>
      <c r="W7">
        <v>81</v>
      </c>
      <c r="X7">
        <v>76</v>
      </c>
      <c r="Y7">
        <v>97</v>
      </c>
      <c r="Z7">
        <v>94</v>
      </c>
      <c r="AA7">
        <v>105</v>
      </c>
      <c r="AB7">
        <v>79</v>
      </c>
      <c r="AC7">
        <v>115</v>
      </c>
      <c r="AD7">
        <v>85</v>
      </c>
      <c r="AE7">
        <v>36</v>
      </c>
      <c r="AG7" s="12">
        <f>IFERROR(AVERAGE(F14:AD14),"0")</f>
        <v>0.12514482234473656</v>
      </c>
      <c r="AH7" s="12">
        <f>IFERROR(AVERAGE(Y14:AD14),"0")</f>
        <v>8.9018486050660525E-2</v>
      </c>
      <c r="AI7" s="12">
        <f>IFERROR(AVERAGE(AB14:AD14),"0")</f>
        <v>0.10719889496800372</v>
      </c>
    </row>
    <row r="8" spans="1:35" x14ac:dyDescent="0.25">
      <c r="A8" t="s">
        <v>41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f t="shared" ref="M8:R8" si="0">M7</f>
        <v>71</v>
      </c>
      <c r="N8" s="10">
        <f t="shared" si="0"/>
        <v>64</v>
      </c>
      <c r="O8" s="10">
        <f t="shared" si="0"/>
        <v>80</v>
      </c>
      <c r="P8" s="10">
        <f t="shared" si="0"/>
        <v>43</v>
      </c>
      <c r="Q8" s="10">
        <f t="shared" si="0"/>
        <v>65</v>
      </c>
      <c r="R8" s="10">
        <f t="shared" si="0"/>
        <v>59</v>
      </c>
      <c r="S8" s="10">
        <f>S7</f>
        <v>63</v>
      </c>
      <c r="T8">
        <f>T11</f>
        <v>71</v>
      </c>
      <c r="U8">
        <f t="shared" ref="U8:AA8" si="1">U7</f>
        <v>58</v>
      </c>
      <c r="V8" s="11">
        <f t="shared" si="1"/>
        <v>72</v>
      </c>
      <c r="W8">
        <f t="shared" si="1"/>
        <v>81</v>
      </c>
      <c r="X8">
        <f t="shared" si="1"/>
        <v>76</v>
      </c>
      <c r="Y8">
        <f t="shared" si="1"/>
        <v>97</v>
      </c>
      <c r="Z8">
        <f t="shared" si="1"/>
        <v>94</v>
      </c>
      <c r="AA8">
        <f t="shared" si="1"/>
        <v>105</v>
      </c>
      <c r="AB8">
        <f>AB7</f>
        <v>79</v>
      </c>
      <c r="AC8">
        <v>115</v>
      </c>
      <c r="AD8">
        <v>84</v>
      </c>
      <c r="AE8">
        <v>36</v>
      </c>
      <c r="AF8" s="13"/>
      <c r="AH8" s="13"/>
      <c r="AI8" s="13"/>
    </row>
    <row r="9" spans="1:35" x14ac:dyDescent="0.25">
      <c r="A9" t="s">
        <v>42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  <c r="G9" s="10">
        <v>51</v>
      </c>
      <c r="H9" s="10">
        <v>32</v>
      </c>
      <c r="I9" s="10">
        <v>28</v>
      </c>
      <c r="J9" s="10">
        <v>38</v>
      </c>
      <c r="K9" s="10">
        <v>32</v>
      </c>
      <c r="L9" s="10">
        <v>42</v>
      </c>
      <c r="M9" s="10">
        <v>34</v>
      </c>
      <c r="N9" s="10">
        <v>23</v>
      </c>
      <c r="O9" s="10">
        <v>28</v>
      </c>
      <c r="P9" s="10">
        <v>13</v>
      </c>
      <c r="Q9" s="10">
        <v>16</v>
      </c>
      <c r="R9" s="10">
        <v>13</v>
      </c>
      <c r="S9" s="10">
        <v>12</v>
      </c>
      <c r="T9" s="10">
        <v>22</v>
      </c>
      <c r="U9" s="10">
        <v>21</v>
      </c>
      <c r="V9">
        <v>24</v>
      </c>
      <c r="W9">
        <v>21</v>
      </c>
      <c r="X9">
        <v>27</v>
      </c>
      <c r="Y9">
        <v>27</v>
      </c>
      <c r="Z9">
        <v>18</v>
      </c>
      <c r="AA9">
        <v>24</v>
      </c>
      <c r="AB9">
        <v>18</v>
      </c>
      <c r="AC9">
        <v>24</v>
      </c>
      <c r="AD9">
        <v>22</v>
      </c>
      <c r="AE9">
        <v>7</v>
      </c>
      <c r="AG9" s="41" t="s">
        <v>43</v>
      </c>
      <c r="AH9" s="41"/>
      <c r="AI9" s="41"/>
    </row>
    <row r="10" spans="1:35" ht="30" x14ac:dyDescent="0.25">
      <c r="A10" t="s">
        <v>44</v>
      </c>
      <c r="B10" s="10">
        <v>22</v>
      </c>
      <c r="C10" s="10">
        <v>13</v>
      </c>
      <c r="D10" s="10">
        <v>35</v>
      </c>
      <c r="E10" s="10">
        <v>40</v>
      </c>
      <c r="F10" s="10">
        <v>28</v>
      </c>
      <c r="G10" s="10">
        <v>35</v>
      </c>
      <c r="H10" s="10">
        <v>31</v>
      </c>
      <c r="I10" s="10">
        <v>28</v>
      </c>
      <c r="J10" s="10">
        <v>14</v>
      </c>
      <c r="K10" s="10">
        <v>25</v>
      </c>
      <c r="L10" s="10">
        <v>32</v>
      </c>
      <c r="M10" s="10">
        <v>28</v>
      </c>
      <c r="N10" s="10">
        <v>33</v>
      </c>
      <c r="O10" s="10">
        <v>32</v>
      </c>
      <c r="P10" s="10">
        <v>28</v>
      </c>
      <c r="Q10" s="10">
        <v>34</v>
      </c>
      <c r="R10" s="10">
        <v>31</v>
      </c>
      <c r="S10" s="10">
        <v>29</v>
      </c>
      <c r="T10" s="10">
        <v>44</v>
      </c>
      <c r="U10" s="10">
        <v>31</v>
      </c>
      <c r="V10">
        <v>48</v>
      </c>
      <c r="W10">
        <v>43</v>
      </c>
      <c r="X10">
        <v>22</v>
      </c>
      <c r="Y10">
        <v>46</v>
      </c>
      <c r="Z10">
        <v>28</v>
      </c>
      <c r="AA10">
        <v>41</v>
      </c>
      <c r="AB10">
        <v>36</v>
      </c>
      <c r="AC10">
        <v>45</v>
      </c>
      <c r="AD10">
        <v>42</v>
      </c>
      <c r="AE10">
        <v>16</v>
      </c>
      <c r="AG10" s="9" t="s">
        <v>37</v>
      </c>
      <c r="AH10" s="9" t="s">
        <v>38</v>
      </c>
      <c r="AI10" s="9" t="s">
        <v>39</v>
      </c>
    </row>
    <row r="11" spans="1:35" x14ac:dyDescent="0.25">
      <c r="A11" t="s">
        <v>45</v>
      </c>
      <c r="B11" s="10">
        <v>9</v>
      </c>
      <c r="C11" s="10">
        <v>28</v>
      </c>
      <c r="D11" s="10">
        <v>15</v>
      </c>
      <c r="E11" s="10">
        <v>38</v>
      </c>
      <c r="F11" s="10">
        <v>78</v>
      </c>
      <c r="G11" s="10">
        <v>75</v>
      </c>
      <c r="H11" s="10">
        <v>65</v>
      </c>
      <c r="I11" s="10">
        <v>37</v>
      </c>
      <c r="J11" s="10">
        <v>31</v>
      </c>
      <c r="K11" s="10">
        <v>18</v>
      </c>
      <c r="L11" s="10">
        <v>42</v>
      </c>
      <c r="M11" s="10">
        <f t="shared" ref="M11:N11" si="2">M7</f>
        <v>71</v>
      </c>
      <c r="N11" s="10">
        <f t="shared" si="2"/>
        <v>64</v>
      </c>
      <c r="O11" s="10">
        <f>O7</f>
        <v>80</v>
      </c>
      <c r="P11" s="10">
        <v>34</v>
      </c>
      <c r="Q11" s="10">
        <v>65</v>
      </c>
      <c r="R11" s="10">
        <f>R7</f>
        <v>59</v>
      </c>
      <c r="S11" s="10">
        <f>S7</f>
        <v>63</v>
      </c>
      <c r="T11" s="10">
        <f>T7</f>
        <v>71</v>
      </c>
      <c r="U11" s="10">
        <f>U8</f>
        <v>58</v>
      </c>
      <c r="V11" s="11">
        <f>V8</f>
        <v>72</v>
      </c>
      <c r="W11">
        <f>W7</f>
        <v>81</v>
      </c>
      <c r="X11">
        <f>X7</f>
        <v>76</v>
      </c>
      <c r="Y11">
        <f>Y7</f>
        <v>97</v>
      </c>
      <c r="Z11">
        <f>Z7</f>
        <v>94</v>
      </c>
      <c r="AA11">
        <f>AA8</f>
        <v>105</v>
      </c>
      <c r="AB11">
        <v>12</v>
      </c>
      <c r="AC11">
        <v>73</v>
      </c>
      <c r="AD11">
        <v>28</v>
      </c>
      <c r="AE11">
        <v>11</v>
      </c>
      <c r="AG11" s="12">
        <f>IFERROR(AVERAGE(I15:AD15),"0")</f>
        <v>0.29422172988141276</v>
      </c>
      <c r="AH11" s="12">
        <f>IFERROR(AVERAGE(Y15:AD15),"0")</f>
        <v>0.23010964762456118</v>
      </c>
      <c r="AI11" s="12">
        <f>IFERROR(AVERAGE(Z15:AD15),"0")</f>
        <v>0.24083745950241459</v>
      </c>
    </row>
    <row r="12" spans="1:35" x14ac:dyDescent="0.25">
      <c r="A12" t="s">
        <v>46</v>
      </c>
      <c r="B12" s="10">
        <v>4</v>
      </c>
      <c r="C12" s="10">
        <v>16</v>
      </c>
      <c r="D12" s="10">
        <v>6</v>
      </c>
      <c r="E12" s="10">
        <v>16</v>
      </c>
      <c r="F12" s="10">
        <v>60</v>
      </c>
      <c r="G12" s="10">
        <v>57</v>
      </c>
      <c r="H12" s="10">
        <v>46</v>
      </c>
      <c r="I12" s="10">
        <v>19</v>
      </c>
      <c r="J12" s="10">
        <v>25</v>
      </c>
      <c r="K12" s="10">
        <v>14</v>
      </c>
      <c r="L12" s="10">
        <v>36</v>
      </c>
      <c r="M12" s="10">
        <f t="shared" ref="M12:N12" si="3">M11</f>
        <v>71</v>
      </c>
      <c r="N12" s="10">
        <f t="shared" si="3"/>
        <v>64</v>
      </c>
      <c r="O12" s="10">
        <f>O11</f>
        <v>80</v>
      </c>
      <c r="P12" s="10">
        <v>34</v>
      </c>
      <c r="Q12" s="10">
        <v>65</v>
      </c>
      <c r="R12" s="10">
        <f>R7</f>
        <v>59</v>
      </c>
      <c r="S12" s="10">
        <f>S11</f>
        <v>63</v>
      </c>
      <c r="T12" s="10">
        <f>T7</f>
        <v>71</v>
      </c>
      <c r="U12" s="10">
        <f t="shared" ref="U12:AA12" si="4">U11</f>
        <v>58</v>
      </c>
      <c r="V12" s="11">
        <f t="shared" si="4"/>
        <v>72</v>
      </c>
      <c r="W12">
        <f t="shared" si="4"/>
        <v>81</v>
      </c>
      <c r="X12">
        <f t="shared" si="4"/>
        <v>76</v>
      </c>
      <c r="Y12">
        <f t="shared" si="4"/>
        <v>97</v>
      </c>
      <c r="Z12">
        <f t="shared" si="4"/>
        <v>94</v>
      </c>
      <c r="AA12">
        <f t="shared" si="4"/>
        <v>105</v>
      </c>
      <c r="AB12">
        <v>10</v>
      </c>
      <c r="AC12">
        <v>59</v>
      </c>
      <c r="AD12">
        <v>25</v>
      </c>
      <c r="AE12">
        <v>8</v>
      </c>
    </row>
    <row r="13" spans="1:35" x14ac:dyDescent="0.25">
      <c r="A13" t="s">
        <v>47</v>
      </c>
      <c r="B13" s="14">
        <v>9</v>
      </c>
      <c r="C13" s="14">
        <v>4</v>
      </c>
      <c r="D13" s="14">
        <v>10</v>
      </c>
      <c r="E13" s="14">
        <v>1</v>
      </c>
      <c r="F13" s="10">
        <v>3</v>
      </c>
      <c r="G13" s="10">
        <v>10</v>
      </c>
      <c r="H13" s="10">
        <v>9</v>
      </c>
      <c r="I13" s="10">
        <v>6</v>
      </c>
      <c r="J13" s="10">
        <v>3</v>
      </c>
      <c r="K13" s="10">
        <v>11</v>
      </c>
      <c r="L13" s="10">
        <v>8</v>
      </c>
      <c r="M13" s="10">
        <v>10</v>
      </c>
      <c r="N13" s="10">
        <v>11</v>
      </c>
      <c r="O13" s="10">
        <v>9</v>
      </c>
      <c r="P13" s="10">
        <v>13</v>
      </c>
      <c r="Q13" s="10">
        <v>12</v>
      </c>
      <c r="R13" s="10">
        <v>10</v>
      </c>
      <c r="S13" s="10">
        <v>7</v>
      </c>
      <c r="T13" s="10">
        <v>7</v>
      </c>
      <c r="U13" s="10">
        <v>7</v>
      </c>
      <c r="V13">
        <v>11</v>
      </c>
      <c r="W13">
        <v>9</v>
      </c>
      <c r="X13">
        <v>9</v>
      </c>
      <c r="Y13">
        <v>6</v>
      </c>
      <c r="Z13">
        <v>7</v>
      </c>
      <c r="AA13">
        <v>8</v>
      </c>
      <c r="AB13">
        <v>9</v>
      </c>
      <c r="AC13">
        <v>9</v>
      </c>
      <c r="AD13">
        <v>11</v>
      </c>
      <c r="AE13">
        <v>2</v>
      </c>
      <c r="AG13" s="42" t="s">
        <v>48</v>
      </c>
      <c r="AH13" s="41"/>
      <c r="AI13" s="41"/>
    </row>
    <row r="14" spans="1:35" x14ac:dyDescent="0.25">
      <c r="A14" s="7" t="s">
        <v>49</v>
      </c>
      <c r="B14" s="15">
        <f t="shared" ref="B14:T14" si="5">B13/B7</f>
        <v>2.7355623100303952E-2</v>
      </c>
      <c r="C14" s="15">
        <f t="shared" si="5"/>
        <v>0.21052631578947367</v>
      </c>
      <c r="D14" s="15">
        <f t="shared" si="5"/>
        <v>0.13157894736842105</v>
      </c>
      <c r="E14" s="15">
        <f t="shared" si="5"/>
        <v>1.1494252873563218E-2</v>
      </c>
      <c r="F14" s="15">
        <f t="shared" si="5"/>
        <v>5.4545454545454543E-2</v>
      </c>
      <c r="G14" s="15">
        <f t="shared" si="5"/>
        <v>0.10869565217391304</v>
      </c>
      <c r="H14" s="15">
        <f t="shared" si="5"/>
        <v>0.11688311688311688</v>
      </c>
      <c r="I14" s="15">
        <f t="shared" si="5"/>
        <v>0.10526315789473684</v>
      </c>
      <c r="J14" s="15">
        <f t="shared" si="5"/>
        <v>6.9767441860465115E-2</v>
      </c>
      <c r="K14" s="15">
        <f t="shared" si="5"/>
        <v>0.22</v>
      </c>
      <c r="L14" s="15">
        <f t="shared" si="5"/>
        <v>0.125</v>
      </c>
      <c r="M14" s="15">
        <f t="shared" si="5"/>
        <v>0.14084507042253522</v>
      </c>
      <c r="N14" s="15">
        <f t="shared" si="5"/>
        <v>0.171875</v>
      </c>
      <c r="O14" s="15">
        <f t="shared" si="5"/>
        <v>0.1125</v>
      </c>
      <c r="P14" s="15">
        <f t="shared" si="5"/>
        <v>0.30232558139534882</v>
      </c>
      <c r="Q14" s="15">
        <f t="shared" si="5"/>
        <v>0.18461538461538463</v>
      </c>
      <c r="R14" s="15">
        <f t="shared" si="5"/>
        <v>0.16949152542372881</v>
      </c>
      <c r="S14" s="15">
        <f t="shared" si="5"/>
        <v>0.1111111111111111</v>
      </c>
      <c r="T14" s="15">
        <f t="shared" si="5"/>
        <v>9.8591549295774641E-2</v>
      </c>
      <c r="U14" s="16">
        <f t="shared" ref="U14:AA14" si="6">IFERROR((U13/U7),"0")</f>
        <v>0.1206896551724138</v>
      </c>
      <c r="V14" s="16">
        <f t="shared" si="6"/>
        <v>0.15277777777777779</v>
      </c>
      <c r="W14" s="16">
        <f>IFERROR((W13/W7),"0")</f>
        <v>0.1111111111111111</v>
      </c>
      <c r="X14" s="16">
        <f t="shared" si="6"/>
        <v>0.11842105263157894</v>
      </c>
      <c r="Y14" s="16">
        <f t="shared" si="6"/>
        <v>6.1855670103092786E-2</v>
      </c>
      <c r="Z14" s="16">
        <f t="shared" si="6"/>
        <v>7.4468085106382975E-2</v>
      </c>
      <c r="AA14" s="16">
        <f t="shared" si="6"/>
        <v>7.6190476190476197E-2</v>
      </c>
      <c r="AB14" s="16">
        <f>IFERROR((AB13/AB7),"0")</f>
        <v>0.11392405063291139</v>
      </c>
      <c r="AC14" s="16">
        <f>IFERROR((AC13/AC7),"0")</f>
        <v>7.8260869565217397E-2</v>
      </c>
      <c r="AD14" s="16">
        <f>IFERROR((AD13/AD7),"0")</f>
        <v>0.12941176470588237</v>
      </c>
      <c r="AE14" s="16">
        <f>IFERROR((AE13/AE7),"0")</f>
        <v>5.5555555555555552E-2</v>
      </c>
      <c r="AG14" s="13" t="s">
        <v>50</v>
      </c>
      <c r="AH14" s="13" t="s">
        <v>51</v>
      </c>
      <c r="AI14" s="13" t="s">
        <v>52</v>
      </c>
    </row>
    <row r="15" spans="1:35" ht="15.75" thickBot="1" x14ac:dyDescent="0.3">
      <c r="A15" s="7" t="s">
        <v>53</v>
      </c>
      <c r="B15" s="17" t="e">
        <f t="shared" ref="B15:R15" si="7">(B13/B4)</f>
        <v>#VALUE!</v>
      </c>
      <c r="C15" s="17">
        <f t="shared" si="7"/>
        <v>0.33333333333333331</v>
      </c>
      <c r="D15" s="17">
        <f t="shared" si="7"/>
        <v>1.4285714285714286</v>
      </c>
      <c r="E15" s="17">
        <f t="shared" si="7"/>
        <v>0.125</v>
      </c>
      <c r="F15" s="15">
        <f t="shared" si="7"/>
        <v>0.23076923076923078</v>
      </c>
      <c r="G15" s="15">
        <f t="shared" si="7"/>
        <v>1.6666666666666667</v>
      </c>
      <c r="H15" s="15">
        <f t="shared" si="7"/>
        <v>0.42857142857142855</v>
      </c>
      <c r="I15" s="15">
        <f t="shared" si="7"/>
        <v>0.35294117647058826</v>
      </c>
      <c r="J15" s="15">
        <f t="shared" si="7"/>
        <v>0.17647058823529413</v>
      </c>
      <c r="K15" s="15">
        <f t="shared" si="7"/>
        <v>0.47826086956521741</v>
      </c>
      <c r="L15" s="15">
        <f t="shared" si="7"/>
        <v>0.36363636363636365</v>
      </c>
      <c r="M15" s="15">
        <f t="shared" si="7"/>
        <v>0.3125</v>
      </c>
      <c r="N15" s="15">
        <f t="shared" si="7"/>
        <v>0.42307692307692307</v>
      </c>
      <c r="O15" s="15">
        <f t="shared" si="7"/>
        <v>0.45</v>
      </c>
      <c r="P15" s="15">
        <f t="shared" si="7"/>
        <v>0.43333333333333335</v>
      </c>
      <c r="Q15" s="15">
        <f t="shared" si="7"/>
        <v>0.4</v>
      </c>
      <c r="R15" s="15">
        <f t="shared" si="7"/>
        <v>0.29411764705882354</v>
      </c>
      <c r="S15" s="15">
        <f t="shared" ref="S15:AA15" si="8">IFERROR((S13/S4),"0%")</f>
        <v>0.17499999999999999</v>
      </c>
      <c r="T15" s="15">
        <f t="shared" si="8"/>
        <v>0.19444444444444445</v>
      </c>
      <c r="U15" s="16">
        <f t="shared" si="8"/>
        <v>0.25925925925925924</v>
      </c>
      <c r="V15" s="16">
        <f t="shared" si="8"/>
        <v>0.28947368421052633</v>
      </c>
      <c r="W15" s="16">
        <f t="shared" si="8"/>
        <v>0.22500000000000001</v>
      </c>
      <c r="X15" s="16">
        <f t="shared" si="8"/>
        <v>0.26470588235294118</v>
      </c>
      <c r="Y15" s="16">
        <f t="shared" si="8"/>
        <v>0.17647058823529413</v>
      </c>
      <c r="Z15" s="16">
        <f t="shared" si="8"/>
        <v>0.18421052631578946</v>
      </c>
      <c r="AA15" s="16">
        <f t="shared" si="8"/>
        <v>0.26666666666666666</v>
      </c>
      <c r="AB15" s="16">
        <f>IFERROR((AB13/AB4),"0%")</f>
        <v>0.21951219512195122</v>
      </c>
      <c r="AC15" s="16">
        <f>IFERROR((AC13/AC4),"0%")</f>
        <v>0.21951219512195122</v>
      </c>
      <c r="AD15" s="16">
        <f>IFERROR((AD13/AD4),"0%")</f>
        <v>0.31428571428571428</v>
      </c>
      <c r="AE15" s="16">
        <f>IFERROR((AE13/AE4),"0%")</f>
        <v>5.4054054054054057E-2</v>
      </c>
      <c r="AG15" s="18">
        <f>IFERROR(AVERAGE(U13:AD13)-STDEV(U13:AD13),"0")</f>
        <v>6.9534547953028714</v>
      </c>
      <c r="AH15" s="18">
        <f>IFERROR(AVERAGE(U13:AD13),"0")</f>
        <v>8.6</v>
      </c>
      <c r="AI15" s="18">
        <f>IFERROR(AVERAGE(Y13:AD13)+STDEV(Y13:AD13),"0")</f>
        <v>10.08452340487516</v>
      </c>
    </row>
    <row r="16" spans="1:35" ht="35.25" thickBot="1" x14ac:dyDescent="0.3">
      <c r="B16" s="19"/>
      <c r="C16" s="19"/>
      <c r="H16" s="19"/>
      <c r="I16" s="19"/>
      <c r="J16" s="19"/>
      <c r="K16" s="19"/>
      <c r="L16" s="19"/>
      <c r="M16" s="19"/>
      <c r="N16" s="20" t="s">
        <v>54</v>
      </c>
      <c r="O16" s="21">
        <f>AVERAGE(F14:AB14)</f>
        <v>0.12699773584118756</v>
      </c>
      <c r="P16" s="20" t="s">
        <v>55</v>
      </c>
      <c r="Q16" s="21">
        <f>AVERAGE(H15:AB15)</f>
        <v>0.30322150364546879</v>
      </c>
      <c r="R16" s="19"/>
      <c r="S16" s="22"/>
    </row>
    <row r="17" spans="1:35" x14ac:dyDescent="0.25">
      <c r="B17" s="23">
        <f>IFERROR((B7/B13),"0")</f>
        <v>36.555555555555557</v>
      </c>
      <c r="C17" s="23">
        <f t="shared" ref="C17:AB17" si="9">IFERROR((C7/C13),"0")</f>
        <v>4.75</v>
      </c>
      <c r="D17" s="23">
        <f t="shared" si="9"/>
        <v>7.6</v>
      </c>
      <c r="E17" s="23">
        <f t="shared" si="9"/>
        <v>87</v>
      </c>
      <c r="F17" s="23">
        <f t="shared" si="9"/>
        <v>18.333333333333332</v>
      </c>
      <c r="G17" s="23">
        <f t="shared" si="9"/>
        <v>9.1999999999999993</v>
      </c>
      <c r="H17" s="23">
        <f t="shared" si="9"/>
        <v>8.5555555555555554</v>
      </c>
      <c r="I17" s="23">
        <f t="shared" si="9"/>
        <v>9.5</v>
      </c>
      <c r="J17" s="23">
        <f t="shared" si="9"/>
        <v>14.333333333333334</v>
      </c>
      <c r="K17" s="23">
        <f t="shared" si="9"/>
        <v>4.5454545454545459</v>
      </c>
      <c r="L17" s="23">
        <f t="shared" si="9"/>
        <v>8</v>
      </c>
      <c r="M17" s="23">
        <f t="shared" si="9"/>
        <v>7.1</v>
      </c>
      <c r="N17" s="23">
        <f t="shared" si="9"/>
        <v>5.8181818181818183</v>
      </c>
      <c r="O17" s="23">
        <f t="shared" si="9"/>
        <v>8.8888888888888893</v>
      </c>
      <c r="P17" s="23">
        <f t="shared" si="9"/>
        <v>3.3076923076923075</v>
      </c>
      <c r="Q17" s="23">
        <f t="shared" si="9"/>
        <v>5.416666666666667</v>
      </c>
      <c r="R17" s="23">
        <f t="shared" si="9"/>
        <v>5.9</v>
      </c>
      <c r="S17" s="23">
        <f t="shared" si="9"/>
        <v>9</v>
      </c>
      <c r="T17" s="23">
        <f t="shared" si="9"/>
        <v>10.142857142857142</v>
      </c>
      <c r="U17" s="23">
        <f t="shared" si="9"/>
        <v>8.2857142857142865</v>
      </c>
      <c r="V17" s="23">
        <f t="shared" si="9"/>
        <v>6.5454545454545459</v>
      </c>
      <c r="W17" s="23">
        <f t="shared" si="9"/>
        <v>9</v>
      </c>
      <c r="X17" s="23">
        <f t="shared" si="9"/>
        <v>8.4444444444444446</v>
      </c>
      <c r="Y17" s="23">
        <f t="shared" si="9"/>
        <v>16.166666666666668</v>
      </c>
      <c r="Z17" s="23">
        <f t="shared" si="9"/>
        <v>13.428571428571429</v>
      </c>
      <c r="AA17" s="23">
        <f t="shared" si="9"/>
        <v>13.125</v>
      </c>
      <c r="AB17" s="23">
        <f t="shared" si="9"/>
        <v>8.7777777777777786</v>
      </c>
      <c r="AC17" s="23">
        <f>IFERROR((AC7/AC13),"0")</f>
        <v>12.777777777777779</v>
      </c>
      <c r="AD17" s="23">
        <f>IFERROR((AD7/AD13),"0")</f>
        <v>7.7272727272727275</v>
      </c>
      <c r="AE17" s="23">
        <f>IFERROR((AE7/AE13),"0")</f>
        <v>18</v>
      </c>
      <c r="AG17" s="24" t="s">
        <v>56</v>
      </c>
    </row>
    <row r="18" spans="1:35" x14ac:dyDescent="0.25">
      <c r="A18" s="40" t="s">
        <v>57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8"/>
      <c r="AE18" s="8"/>
      <c r="AG18" s="40" t="s">
        <v>5</v>
      </c>
      <c r="AH18" s="40"/>
      <c r="AI18" s="40"/>
    </row>
    <row r="19" spans="1:35" ht="30" x14ac:dyDescent="0.25">
      <c r="A19" t="s">
        <v>58</v>
      </c>
      <c r="B19" t="str">
        <f>B6</f>
        <v>Febrero, 24</v>
      </c>
      <c r="C19" t="str">
        <f t="shared" ref="C19:AA19" si="10">C6</f>
        <v>Marzo, 24</v>
      </c>
      <c r="D19" t="str">
        <f t="shared" si="10"/>
        <v>Abril, 24</v>
      </c>
      <c r="E19" t="str">
        <f t="shared" si="10"/>
        <v>Mayo, 24</v>
      </c>
      <c r="F19" t="str">
        <f t="shared" si="10"/>
        <v>Junio, 24</v>
      </c>
      <c r="G19" t="str">
        <f t="shared" si="10"/>
        <v>Julio, 24</v>
      </c>
      <c r="H19" t="str">
        <f t="shared" si="10"/>
        <v>Agosto, 24</v>
      </c>
      <c r="I19" t="str">
        <f t="shared" si="10"/>
        <v>Septiembre, 24</v>
      </c>
      <c r="J19" t="str">
        <f t="shared" si="10"/>
        <v>Octubre, 24</v>
      </c>
      <c r="K19" t="str">
        <f t="shared" si="10"/>
        <v>Noviembre, 24</v>
      </c>
      <c r="L19" t="str">
        <f t="shared" si="10"/>
        <v>Diciembre, 24</v>
      </c>
      <c r="M19" t="str">
        <f t="shared" si="10"/>
        <v>Enero, 25</v>
      </c>
      <c r="N19" t="str">
        <f t="shared" si="10"/>
        <v>Febrero, 25</v>
      </c>
      <c r="O19" t="str">
        <f t="shared" si="10"/>
        <v>Marzo, 25</v>
      </c>
      <c r="P19" t="str">
        <f t="shared" si="10"/>
        <v>Abril, 25</v>
      </c>
      <c r="Q19" t="str">
        <f t="shared" si="10"/>
        <v>Mayo, 25</v>
      </c>
      <c r="R19" t="str">
        <f t="shared" si="10"/>
        <v>Junio, 25</v>
      </c>
      <c r="S19" t="str">
        <f t="shared" si="10"/>
        <v>Julio, 25</v>
      </c>
      <c r="T19" t="str">
        <f t="shared" si="10"/>
        <v>Agosto, 25</v>
      </c>
      <c r="U19" t="str">
        <f t="shared" si="10"/>
        <v>Septiembre, 25</v>
      </c>
      <c r="V19" t="str">
        <f t="shared" si="10"/>
        <v>Octubre, 25</v>
      </c>
      <c r="W19" t="str">
        <f t="shared" si="10"/>
        <v>Noviembre, 25</v>
      </c>
      <c r="X19" t="str">
        <f t="shared" si="10"/>
        <v>Diciembre, 25</v>
      </c>
      <c r="Y19" t="str">
        <f t="shared" si="10"/>
        <v>Enero, 26</v>
      </c>
      <c r="Z19" t="str">
        <f t="shared" si="10"/>
        <v>Febrero, 26</v>
      </c>
      <c r="AA19" t="str">
        <f t="shared" si="10"/>
        <v>Marzo, 26</v>
      </c>
      <c r="AB19" t="str">
        <f>AB6</f>
        <v>Abril, 26</v>
      </c>
      <c r="AC19" t="s">
        <v>34</v>
      </c>
      <c r="AD19" t="s">
        <v>35</v>
      </c>
      <c r="AE19" t="s">
        <v>36</v>
      </c>
      <c r="AG19" s="9" t="s">
        <v>37</v>
      </c>
      <c r="AH19" s="9" t="s">
        <v>38</v>
      </c>
      <c r="AI19" s="9" t="s">
        <v>39</v>
      </c>
    </row>
    <row r="20" spans="1:35" x14ac:dyDescent="0.25">
      <c r="A20" t="s">
        <v>40</v>
      </c>
      <c r="B20">
        <v>0</v>
      </c>
      <c r="C20">
        <v>0</v>
      </c>
      <c r="D20">
        <v>25</v>
      </c>
      <c r="E20">
        <v>28</v>
      </c>
      <c r="F20">
        <v>68</v>
      </c>
      <c r="G20">
        <v>294</v>
      </c>
      <c r="H20">
        <v>248</v>
      </c>
      <c r="I20">
        <v>52</v>
      </c>
      <c r="J20">
        <v>59</v>
      </c>
      <c r="K20">
        <v>154</v>
      </c>
      <c r="L20">
        <v>280</v>
      </c>
      <c r="M20">
        <v>172</v>
      </c>
      <c r="N20">
        <v>184</v>
      </c>
      <c r="O20" s="10">
        <v>275</v>
      </c>
      <c r="P20" s="10">
        <v>301</v>
      </c>
      <c r="Q20" s="10">
        <v>275</v>
      </c>
      <c r="R20" s="10">
        <v>355</v>
      </c>
      <c r="S20">
        <v>492</v>
      </c>
      <c r="T20">
        <v>397</v>
      </c>
      <c r="U20">
        <v>312</v>
      </c>
      <c r="V20">
        <v>324</v>
      </c>
      <c r="W20">
        <v>274</v>
      </c>
      <c r="X20">
        <v>325</v>
      </c>
      <c r="Y20">
        <v>290</v>
      </c>
      <c r="Z20">
        <v>433</v>
      </c>
      <c r="AA20">
        <v>401</v>
      </c>
      <c r="AB20">
        <v>351</v>
      </c>
      <c r="AC20">
        <v>352</v>
      </c>
      <c r="AD20">
        <v>403</v>
      </c>
      <c r="AE20">
        <v>145</v>
      </c>
      <c r="AG20" s="12">
        <f>IFERROR(AVERAGE(H29:AD29),"0")</f>
        <v>2.2809647402899546E-2</v>
      </c>
      <c r="AH20" s="12">
        <f>IFERROR(AVERAGE(Y29:AD29),"0")</f>
        <v>1.9441017761450814E-2</v>
      </c>
      <c r="AI20" s="12">
        <f>IFERROR(AVERAGE(Y29:AD29),"0")</f>
        <v>1.9441017761450814E-2</v>
      </c>
    </row>
    <row r="21" spans="1:35" x14ac:dyDescent="0.25">
      <c r="A21" t="s">
        <v>41</v>
      </c>
      <c r="O21" s="10"/>
      <c r="P21" s="10"/>
      <c r="Q21" s="10"/>
      <c r="R21" s="10"/>
      <c r="T21">
        <v>281</v>
      </c>
      <c r="U21">
        <v>218</v>
      </c>
      <c r="V21">
        <v>226</v>
      </c>
      <c r="W21">
        <v>209</v>
      </c>
      <c r="X21">
        <v>291</v>
      </c>
      <c r="Y21">
        <v>261</v>
      </c>
      <c r="Z21">
        <v>387</v>
      </c>
      <c r="AA21">
        <v>364</v>
      </c>
      <c r="AB21">
        <v>351</v>
      </c>
      <c r="AC21">
        <v>347</v>
      </c>
      <c r="AD21">
        <v>403</v>
      </c>
      <c r="AE21">
        <v>145</v>
      </c>
      <c r="AG21" s="13"/>
      <c r="AH21" s="13"/>
      <c r="AI21" s="13"/>
    </row>
    <row r="22" spans="1:35" x14ac:dyDescent="0.25">
      <c r="A22" t="s">
        <v>42</v>
      </c>
      <c r="B22" s="25" t="s">
        <v>1</v>
      </c>
      <c r="C22" s="25" t="s">
        <v>1</v>
      </c>
      <c r="D22" s="25" t="s">
        <v>1</v>
      </c>
      <c r="E22" s="25" t="s">
        <v>1</v>
      </c>
      <c r="F22" s="25" t="s">
        <v>1</v>
      </c>
      <c r="G22" s="25" t="s">
        <v>1</v>
      </c>
      <c r="H22" s="25" t="s">
        <v>1</v>
      </c>
      <c r="I22" s="25" t="s">
        <v>1</v>
      </c>
      <c r="J22" s="25" t="s">
        <v>1</v>
      </c>
      <c r="K22" s="25" t="s">
        <v>1</v>
      </c>
      <c r="L22">
        <v>26</v>
      </c>
      <c r="M22">
        <v>22</v>
      </c>
      <c r="N22">
        <v>16</v>
      </c>
      <c r="O22" s="10">
        <v>27</v>
      </c>
      <c r="P22" s="10">
        <v>19</v>
      </c>
      <c r="Q22" s="10">
        <v>23</v>
      </c>
      <c r="R22" s="10">
        <v>35</v>
      </c>
      <c r="S22">
        <v>36</v>
      </c>
      <c r="T22">
        <v>25</v>
      </c>
      <c r="U22">
        <v>44</v>
      </c>
      <c r="V22">
        <v>38</v>
      </c>
      <c r="W22">
        <v>31</v>
      </c>
      <c r="X22">
        <v>34</v>
      </c>
      <c r="Y22">
        <v>23</v>
      </c>
      <c r="Z22">
        <v>25</v>
      </c>
      <c r="AA22">
        <v>26</v>
      </c>
      <c r="AB22">
        <v>12</v>
      </c>
      <c r="AC22">
        <v>18</v>
      </c>
      <c r="AD22">
        <v>16</v>
      </c>
      <c r="AE22">
        <v>3</v>
      </c>
      <c r="AG22" s="41" t="s">
        <v>43</v>
      </c>
      <c r="AH22" s="41"/>
      <c r="AI22" s="41"/>
    </row>
    <row r="23" spans="1:35" ht="30" x14ac:dyDescent="0.25">
      <c r="A23" t="s">
        <v>44</v>
      </c>
      <c r="B23" s="25" t="s">
        <v>1</v>
      </c>
      <c r="C23" s="25" t="s">
        <v>1</v>
      </c>
      <c r="D23" s="26">
        <v>1</v>
      </c>
      <c r="E23" s="26">
        <v>11</v>
      </c>
      <c r="F23" s="26">
        <v>5</v>
      </c>
      <c r="G23" s="26">
        <v>6</v>
      </c>
      <c r="H23" s="26">
        <v>17</v>
      </c>
      <c r="I23" s="26">
        <v>8</v>
      </c>
      <c r="J23" s="26">
        <v>5</v>
      </c>
      <c r="K23" s="26">
        <v>19</v>
      </c>
      <c r="L23" s="26">
        <v>14</v>
      </c>
      <c r="M23" s="26">
        <v>22</v>
      </c>
      <c r="N23" s="26">
        <v>28</v>
      </c>
      <c r="O23" s="27">
        <v>20</v>
      </c>
      <c r="P23" s="27">
        <v>23</v>
      </c>
      <c r="Q23" s="27">
        <v>23</v>
      </c>
      <c r="R23" s="27">
        <v>44</v>
      </c>
      <c r="S23">
        <v>37</v>
      </c>
      <c r="T23">
        <v>30</v>
      </c>
      <c r="U23">
        <v>41</v>
      </c>
      <c r="V23">
        <v>43</v>
      </c>
      <c r="W23">
        <v>33</v>
      </c>
      <c r="X23">
        <v>18</v>
      </c>
      <c r="Y23">
        <v>15</v>
      </c>
      <c r="Z23">
        <v>39</v>
      </c>
      <c r="AA23">
        <v>35</v>
      </c>
      <c r="AB23">
        <v>30</v>
      </c>
      <c r="AC23">
        <v>31</v>
      </c>
      <c r="AD23">
        <v>41</v>
      </c>
      <c r="AE23">
        <v>12</v>
      </c>
      <c r="AG23" s="9" t="s">
        <v>37</v>
      </c>
      <c r="AH23" s="9" t="s">
        <v>38</v>
      </c>
      <c r="AI23" s="9" t="s">
        <v>39</v>
      </c>
    </row>
    <row r="24" spans="1:35" x14ac:dyDescent="0.25">
      <c r="A24" t="s">
        <v>45</v>
      </c>
      <c r="B24" s="25"/>
      <c r="C24" s="25"/>
      <c r="D24" s="28">
        <v>1</v>
      </c>
      <c r="E24" s="28">
        <v>3</v>
      </c>
      <c r="F24" s="28">
        <v>2</v>
      </c>
      <c r="G24" s="28">
        <v>30</v>
      </c>
      <c r="H24" s="28">
        <v>50</v>
      </c>
      <c r="I24" s="28">
        <v>13</v>
      </c>
      <c r="J24" s="28">
        <v>13</v>
      </c>
      <c r="K24" s="28">
        <v>20</v>
      </c>
      <c r="L24" s="28">
        <v>40</v>
      </c>
      <c r="M24" s="28">
        <v>53</v>
      </c>
      <c r="N24" s="28">
        <v>48</v>
      </c>
      <c r="O24" s="29">
        <v>35</v>
      </c>
      <c r="P24" s="29">
        <v>52</v>
      </c>
      <c r="Q24" s="29">
        <v>29</v>
      </c>
      <c r="R24" s="29">
        <v>90</v>
      </c>
      <c r="S24">
        <v>77</v>
      </c>
      <c r="T24">
        <v>67</v>
      </c>
      <c r="U24">
        <v>74</v>
      </c>
      <c r="V24">
        <v>77</v>
      </c>
      <c r="W24">
        <v>60</v>
      </c>
      <c r="X24">
        <v>46</v>
      </c>
      <c r="Y24">
        <v>23</v>
      </c>
      <c r="Z24">
        <v>105</v>
      </c>
      <c r="AA24">
        <v>70</v>
      </c>
      <c r="AB24">
        <v>41</v>
      </c>
      <c r="AC24">
        <v>68</v>
      </c>
      <c r="AD24">
        <v>100</v>
      </c>
      <c r="AE24">
        <v>26</v>
      </c>
      <c r="AG24" s="12">
        <f>IFERROR(AVERAGE(H30:AD30),"0")</f>
        <v>0.21568967619395943</v>
      </c>
      <c r="AH24" s="12">
        <f>IFERROR(AVERAGE(Y30:AD30),"0")</f>
        <v>0.19914605979319414</v>
      </c>
      <c r="AI24" s="12">
        <f>IFERROR(AVERAGE(Y30:AD30),"0")</f>
        <v>0.19914605979319414</v>
      </c>
    </row>
    <row r="25" spans="1:35" x14ac:dyDescent="0.25">
      <c r="B25" s="25"/>
      <c r="C25" s="25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29"/>
      <c r="Q25" s="29"/>
      <c r="R25" s="29"/>
      <c r="X25" s="19">
        <f t="shared" ref="X25:AD25" si="11">X24/X20</f>
        <v>0.14153846153846153</v>
      </c>
      <c r="Y25" s="19">
        <f t="shared" si="11"/>
        <v>7.9310344827586213E-2</v>
      </c>
      <c r="Z25" s="19">
        <f t="shared" si="11"/>
        <v>0.24249422632794457</v>
      </c>
      <c r="AA25" s="19">
        <f t="shared" si="11"/>
        <v>0.1745635910224439</v>
      </c>
      <c r="AB25" s="19">
        <f t="shared" si="11"/>
        <v>0.11680911680911681</v>
      </c>
      <c r="AC25" s="19">
        <f t="shared" si="11"/>
        <v>0.19318181818181818</v>
      </c>
      <c r="AD25" s="19">
        <f t="shared" si="11"/>
        <v>0.24813895781637718</v>
      </c>
      <c r="AE25" s="19">
        <f>AE24/AE20</f>
        <v>0.1793103448275862</v>
      </c>
      <c r="AG25" s="12"/>
      <c r="AH25" s="12"/>
      <c r="AI25" s="12"/>
    </row>
    <row r="26" spans="1:35" x14ac:dyDescent="0.25">
      <c r="A26" t="s">
        <v>46</v>
      </c>
      <c r="B26" s="25"/>
      <c r="C26" s="25"/>
      <c r="D26" s="28"/>
      <c r="E26" s="28">
        <v>2</v>
      </c>
      <c r="F26" s="28">
        <v>2</v>
      </c>
      <c r="G26" s="28">
        <v>8</v>
      </c>
      <c r="H26" s="28">
        <v>18</v>
      </c>
      <c r="I26" s="28">
        <v>4</v>
      </c>
      <c r="J26" s="28">
        <v>6</v>
      </c>
      <c r="K26" s="28">
        <v>10</v>
      </c>
      <c r="L26" s="28">
        <v>19</v>
      </c>
      <c r="M26" s="28">
        <v>35</v>
      </c>
      <c r="N26" s="28">
        <v>36</v>
      </c>
      <c r="O26" s="29">
        <v>28</v>
      </c>
      <c r="P26" s="29">
        <v>25</v>
      </c>
      <c r="Q26" s="29">
        <v>27</v>
      </c>
      <c r="R26" s="29">
        <v>61</v>
      </c>
      <c r="S26">
        <v>51</v>
      </c>
      <c r="T26">
        <v>44</v>
      </c>
      <c r="U26">
        <v>52</v>
      </c>
      <c r="V26">
        <v>48</v>
      </c>
      <c r="W26">
        <v>32</v>
      </c>
      <c r="X26">
        <v>41</v>
      </c>
      <c r="Y26">
        <v>19</v>
      </c>
      <c r="Z26">
        <v>82</v>
      </c>
      <c r="AA26">
        <v>55</v>
      </c>
      <c r="AB26">
        <v>31</v>
      </c>
      <c r="AC26">
        <v>49</v>
      </c>
      <c r="AD26">
        <v>59</v>
      </c>
      <c r="AE26">
        <v>15</v>
      </c>
    </row>
    <row r="27" spans="1:35" x14ac:dyDescent="0.25">
      <c r="B27" s="25"/>
      <c r="C27" s="25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29"/>
      <c r="Q27" s="29"/>
      <c r="R27" s="29"/>
      <c r="Y27" s="19">
        <f t="shared" ref="Y27:AC27" si="12">Y26/Y20</f>
        <v>6.5517241379310351E-2</v>
      </c>
      <c r="Z27" s="19">
        <f t="shared" si="12"/>
        <v>0.18937644341801385</v>
      </c>
      <c r="AA27" s="19">
        <f t="shared" si="12"/>
        <v>0.13715710723192021</v>
      </c>
      <c r="AB27" s="19">
        <f t="shared" si="12"/>
        <v>8.8319088319088315E-2</v>
      </c>
      <c r="AC27" s="19">
        <f t="shared" si="12"/>
        <v>0.13920454545454544</v>
      </c>
      <c r="AD27" s="19">
        <f>AD26/AD20</f>
        <v>0.14640198511166252</v>
      </c>
    </row>
    <row r="28" spans="1:35" x14ac:dyDescent="0.25">
      <c r="A28" t="s">
        <v>47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>
        <v>2</v>
      </c>
      <c r="H28">
        <v>3</v>
      </c>
      <c r="I28">
        <v>0</v>
      </c>
      <c r="J28">
        <v>2</v>
      </c>
      <c r="K28">
        <v>3</v>
      </c>
      <c r="L28">
        <v>7</v>
      </c>
      <c r="M28">
        <v>4</v>
      </c>
      <c r="N28">
        <v>1</v>
      </c>
      <c r="O28" s="10">
        <v>3</v>
      </c>
      <c r="P28" s="10">
        <v>8</v>
      </c>
      <c r="Q28" s="10">
        <v>5</v>
      </c>
      <c r="R28" s="10">
        <v>13</v>
      </c>
      <c r="S28" s="10">
        <v>14</v>
      </c>
      <c r="T28" s="10">
        <v>6</v>
      </c>
      <c r="U28" s="10">
        <v>15</v>
      </c>
      <c r="V28">
        <v>12</v>
      </c>
      <c r="W28">
        <v>11</v>
      </c>
      <c r="X28">
        <v>9</v>
      </c>
      <c r="Y28">
        <v>6</v>
      </c>
      <c r="Z28">
        <v>6</v>
      </c>
      <c r="AA28">
        <v>7</v>
      </c>
      <c r="AB28">
        <v>7</v>
      </c>
      <c r="AC28">
        <v>7</v>
      </c>
      <c r="AD28">
        <v>10</v>
      </c>
      <c r="AE28">
        <v>1</v>
      </c>
      <c r="AG28" s="42" t="s">
        <v>48</v>
      </c>
      <c r="AH28" s="41"/>
      <c r="AI28" s="41"/>
    </row>
    <row r="29" spans="1:35" x14ac:dyDescent="0.25">
      <c r="A29" s="7" t="s">
        <v>49</v>
      </c>
      <c r="B29" s="15">
        <f t="shared" ref="B29:AC29" si="13">IFERROR(B28/B20,0)</f>
        <v>0</v>
      </c>
      <c r="C29" s="15">
        <f t="shared" si="13"/>
        <v>0</v>
      </c>
      <c r="D29" s="15">
        <f t="shared" si="13"/>
        <v>0</v>
      </c>
      <c r="E29" s="15">
        <f t="shared" si="13"/>
        <v>0</v>
      </c>
      <c r="F29" s="15">
        <f t="shared" si="13"/>
        <v>0</v>
      </c>
      <c r="G29" s="15">
        <f t="shared" si="13"/>
        <v>6.8027210884353739E-3</v>
      </c>
      <c r="H29" s="15">
        <f t="shared" si="13"/>
        <v>1.2096774193548387E-2</v>
      </c>
      <c r="I29" s="15">
        <f t="shared" si="13"/>
        <v>0</v>
      </c>
      <c r="J29" s="15">
        <f t="shared" si="13"/>
        <v>3.3898305084745763E-2</v>
      </c>
      <c r="K29" s="15">
        <f t="shared" si="13"/>
        <v>1.948051948051948E-2</v>
      </c>
      <c r="L29" s="15">
        <f t="shared" si="13"/>
        <v>2.5000000000000001E-2</v>
      </c>
      <c r="M29" s="15">
        <f t="shared" si="13"/>
        <v>2.3255813953488372E-2</v>
      </c>
      <c r="N29" s="15">
        <f t="shared" si="13"/>
        <v>5.434782608695652E-3</v>
      </c>
      <c r="O29" s="15">
        <f t="shared" si="13"/>
        <v>1.090909090909091E-2</v>
      </c>
      <c r="P29" s="15">
        <f t="shared" si="13"/>
        <v>2.6578073089700997E-2</v>
      </c>
      <c r="Q29" s="15">
        <f t="shared" si="13"/>
        <v>1.8181818181818181E-2</v>
      </c>
      <c r="R29" s="15">
        <f t="shared" si="13"/>
        <v>3.6619718309859155E-2</v>
      </c>
      <c r="S29" s="15">
        <f t="shared" si="13"/>
        <v>2.8455284552845527E-2</v>
      </c>
      <c r="T29" s="15">
        <f t="shared" si="13"/>
        <v>1.5113350125944584E-2</v>
      </c>
      <c r="U29" s="16">
        <f t="shared" si="13"/>
        <v>4.807692307692308E-2</v>
      </c>
      <c r="V29" s="16">
        <f t="shared" si="13"/>
        <v>3.7037037037037035E-2</v>
      </c>
      <c r="W29" s="16">
        <f t="shared" si="13"/>
        <v>4.0145985401459854E-2</v>
      </c>
      <c r="X29" s="16">
        <f t="shared" si="13"/>
        <v>2.7692307692307693E-2</v>
      </c>
      <c r="Y29" s="16">
        <f t="shared" si="13"/>
        <v>2.0689655172413793E-2</v>
      </c>
      <c r="Z29" s="16">
        <f t="shared" si="13"/>
        <v>1.3856812933025405E-2</v>
      </c>
      <c r="AA29" s="16">
        <f t="shared" si="13"/>
        <v>1.7456359102244388E-2</v>
      </c>
      <c r="AB29" s="16">
        <f t="shared" si="13"/>
        <v>1.9943019943019943E-2</v>
      </c>
      <c r="AC29" s="16">
        <f t="shared" si="13"/>
        <v>1.9886363636363636E-2</v>
      </c>
      <c r="AD29" s="16">
        <f>IFERROR((AD28/AD20),"0")</f>
        <v>2.4813895781637719E-2</v>
      </c>
      <c r="AE29" s="16">
        <f>IFERROR((AE28/AE20),"0")</f>
        <v>6.8965517241379309E-3</v>
      </c>
      <c r="AG29" s="13" t="s">
        <v>50</v>
      </c>
      <c r="AH29" s="13" t="s">
        <v>51</v>
      </c>
      <c r="AI29" s="13" t="s">
        <v>52</v>
      </c>
    </row>
    <row r="30" spans="1:35" ht="15.75" thickBot="1" x14ac:dyDescent="0.3">
      <c r="A30" s="7" t="s">
        <v>53</v>
      </c>
      <c r="B30" s="17" t="e">
        <f t="shared" ref="B30:T30" si="14">B28/B4</f>
        <v>#VALUE!</v>
      </c>
      <c r="C30" s="17">
        <f t="shared" si="14"/>
        <v>0</v>
      </c>
      <c r="D30" s="17">
        <f t="shared" si="14"/>
        <v>0</v>
      </c>
      <c r="E30" s="17">
        <f t="shared" si="14"/>
        <v>0</v>
      </c>
      <c r="F30" s="15">
        <f t="shared" si="14"/>
        <v>0</v>
      </c>
      <c r="G30" s="15">
        <f t="shared" si="14"/>
        <v>0.33333333333333331</v>
      </c>
      <c r="H30" s="15">
        <f t="shared" si="14"/>
        <v>0.14285714285714285</v>
      </c>
      <c r="I30" s="15">
        <f t="shared" si="14"/>
        <v>0</v>
      </c>
      <c r="J30" s="15">
        <f t="shared" si="14"/>
        <v>0.11764705882352941</v>
      </c>
      <c r="K30" s="15">
        <f t="shared" si="14"/>
        <v>0.13043478260869565</v>
      </c>
      <c r="L30" s="15">
        <f t="shared" si="14"/>
        <v>0.31818181818181818</v>
      </c>
      <c r="M30" s="15">
        <f t="shared" si="14"/>
        <v>0.125</v>
      </c>
      <c r="N30" s="15">
        <f t="shared" si="14"/>
        <v>3.8461538461538464E-2</v>
      </c>
      <c r="O30" s="15">
        <f t="shared" si="14"/>
        <v>0.15</v>
      </c>
      <c r="P30" s="15">
        <f t="shared" si="14"/>
        <v>0.26666666666666666</v>
      </c>
      <c r="Q30" s="15">
        <f t="shared" si="14"/>
        <v>0.16666666666666666</v>
      </c>
      <c r="R30" s="15">
        <f t="shared" si="14"/>
        <v>0.38235294117647056</v>
      </c>
      <c r="S30" s="15">
        <f t="shared" si="14"/>
        <v>0.35</v>
      </c>
      <c r="T30" s="15">
        <f t="shared" si="14"/>
        <v>0.16666666666666666</v>
      </c>
      <c r="U30" s="16">
        <f>IFERROR((U28/U4),"0")</f>
        <v>0.55555555555555558</v>
      </c>
      <c r="V30" s="16">
        <f t="shared" ref="V30:AD30" si="15">IFERROR((V28/V4),"0%")</f>
        <v>0.31578947368421051</v>
      </c>
      <c r="W30" s="16">
        <f t="shared" si="15"/>
        <v>0.27500000000000002</v>
      </c>
      <c r="X30" s="16">
        <f t="shared" si="15"/>
        <v>0.26470588235294118</v>
      </c>
      <c r="Y30" s="16">
        <f t="shared" si="15"/>
        <v>0.17647058823529413</v>
      </c>
      <c r="Z30" s="16">
        <f t="shared" si="15"/>
        <v>0.15789473684210525</v>
      </c>
      <c r="AA30" s="16">
        <f t="shared" si="15"/>
        <v>0.23333333333333334</v>
      </c>
      <c r="AB30" s="16">
        <f t="shared" si="15"/>
        <v>0.17073170731707318</v>
      </c>
      <c r="AC30" s="16">
        <f t="shared" si="15"/>
        <v>0.17073170731707318</v>
      </c>
      <c r="AD30" s="16">
        <f t="shared" si="15"/>
        <v>0.2857142857142857</v>
      </c>
      <c r="AE30" s="16">
        <f>IFERROR((AE28/AE4),"0%")</f>
        <v>2.7027027027027029E-2</v>
      </c>
      <c r="AF30" s="19"/>
      <c r="AG30" s="18">
        <f>IFERROR(AVERAGE(Y28:AD28)-STDEV(Y28:AD28),"0")</f>
        <v>5.6947065222786932</v>
      </c>
      <c r="AH30" s="18">
        <f>IFERROR(AVERAGE(Y28:AD28),"0")</f>
        <v>7.166666666666667</v>
      </c>
      <c r="AI30" s="18">
        <f>IFERROR(AVERAGE(Y28:AD28)+STDEV(Y28:AD28),"0")</f>
        <v>8.6386268110546407</v>
      </c>
    </row>
    <row r="31" spans="1:35" ht="35.25" thickBot="1" x14ac:dyDescent="0.3">
      <c r="A31" s="7"/>
      <c r="B31" s="19"/>
      <c r="C31" s="19"/>
      <c r="H31" s="19"/>
      <c r="I31" s="19"/>
      <c r="J31" s="19"/>
      <c r="K31" s="19"/>
      <c r="L31" s="19"/>
      <c r="M31" s="19"/>
      <c r="N31" s="20" t="s">
        <v>54</v>
      </c>
      <c r="O31" s="31">
        <f>AVERAGE(F29:AB29)</f>
        <v>2.116192834509233E-2</v>
      </c>
      <c r="P31" s="20" t="s">
        <v>55</v>
      </c>
      <c r="Q31" s="31">
        <f>AVERAGE(G30:AB30)</f>
        <v>0.21989772239832012</v>
      </c>
      <c r="R31" s="19"/>
      <c r="S31" s="19"/>
      <c r="T31" s="19"/>
      <c r="U31" s="19"/>
      <c r="AB31" s="11"/>
      <c r="AC31" s="11"/>
      <c r="AD31" s="11"/>
      <c r="AE31" s="11"/>
    </row>
    <row r="32" spans="1:35" x14ac:dyDescent="0.25">
      <c r="G32" s="11">
        <f>IFERROR((G20/G28),"0")</f>
        <v>147</v>
      </c>
      <c r="H32" s="11">
        <f t="shared" ref="H32:AB32" si="16">IFERROR((H20/H28),"0")</f>
        <v>82.666666666666671</v>
      </c>
      <c r="I32" s="11" t="str">
        <f t="shared" si="16"/>
        <v>0</v>
      </c>
      <c r="J32" s="11">
        <f t="shared" si="16"/>
        <v>29.5</v>
      </c>
      <c r="K32" s="11">
        <f t="shared" si="16"/>
        <v>51.333333333333336</v>
      </c>
      <c r="L32" s="11">
        <f t="shared" si="16"/>
        <v>40</v>
      </c>
      <c r="M32" s="11">
        <f t="shared" si="16"/>
        <v>43</v>
      </c>
      <c r="N32" s="11">
        <f t="shared" si="16"/>
        <v>184</v>
      </c>
      <c r="O32" s="11">
        <f t="shared" si="16"/>
        <v>91.666666666666671</v>
      </c>
      <c r="P32" s="11">
        <f t="shared" si="16"/>
        <v>37.625</v>
      </c>
      <c r="Q32" s="11">
        <f t="shared" si="16"/>
        <v>55</v>
      </c>
      <c r="R32" s="11">
        <f t="shared" si="16"/>
        <v>27.307692307692307</v>
      </c>
      <c r="S32" s="11">
        <f t="shared" si="16"/>
        <v>35.142857142857146</v>
      </c>
      <c r="T32" s="11">
        <f t="shared" si="16"/>
        <v>66.166666666666671</v>
      </c>
      <c r="U32" s="11">
        <f t="shared" si="16"/>
        <v>20.8</v>
      </c>
      <c r="V32" s="11">
        <f t="shared" si="16"/>
        <v>27</v>
      </c>
      <c r="W32" s="11">
        <f t="shared" si="16"/>
        <v>24.90909090909091</v>
      </c>
      <c r="X32" s="11">
        <f t="shared" si="16"/>
        <v>36.111111111111114</v>
      </c>
      <c r="Y32" s="11">
        <f t="shared" si="16"/>
        <v>48.333333333333336</v>
      </c>
      <c r="Z32" s="11">
        <f t="shared" si="16"/>
        <v>72.166666666666671</v>
      </c>
      <c r="AA32" s="11">
        <f t="shared" si="16"/>
        <v>57.285714285714285</v>
      </c>
      <c r="AB32" s="11">
        <f t="shared" si="16"/>
        <v>50.142857142857146</v>
      </c>
      <c r="AC32" s="11">
        <f>IFERROR((AC20/AC28),"0")</f>
        <v>50.285714285714285</v>
      </c>
      <c r="AD32" s="11">
        <f>IFERROR((AD20/AD28),"0")</f>
        <v>40.299999999999997</v>
      </c>
      <c r="AE32" s="11">
        <f>IFERROR((AE20/AE28),"0")</f>
        <v>145</v>
      </c>
      <c r="AG32" s="24" t="s">
        <v>59</v>
      </c>
    </row>
    <row r="33" spans="1:35" x14ac:dyDescent="0.25">
      <c r="A33" s="40" t="s">
        <v>60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8"/>
      <c r="AD33" s="8"/>
      <c r="AE33" s="8"/>
      <c r="AG33" s="40" t="s">
        <v>5</v>
      </c>
      <c r="AH33" s="40"/>
      <c r="AI33" s="40"/>
    </row>
    <row r="34" spans="1:35" ht="30" x14ac:dyDescent="0.25">
      <c r="A34" t="s">
        <v>60</v>
      </c>
      <c r="B34" t="str">
        <f>B19</f>
        <v>Febrero, 24</v>
      </c>
      <c r="C34" t="str">
        <f t="shared" ref="C34:AA34" si="17">C19</f>
        <v>Marzo, 24</v>
      </c>
      <c r="D34" t="str">
        <f t="shared" si="17"/>
        <v>Abril, 24</v>
      </c>
      <c r="E34" t="str">
        <f t="shared" si="17"/>
        <v>Mayo, 24</v>
      </c>
      <c r="F34" t="str">
        <f t="shared" si="17"/>
        <v>Junio, 24</v>
      </c>
      <c r="G34" t="str">
        <f t="shared" si="17"/>
        <v>Julio, 24</v>
      </c>
      <c r="H34" t="str">
        <f t="shared" si="17"/>
        <v>Agosto, 24</v>
      </c>
      <c r="I34" t="str">
        <f t="shared" si="17"/>
        <v>Septiembre, 24</v>
      </c>
      <c r="J34" t="str">
        <f t="shared" si="17"/>
        <v>Octubre, 24</v>
      </c>
      <c r="K34" t="str">
        <f t="shared" si="17"/>
        <v>Noviembre, 24</v>
      </c>
      <c r="L34" t="str">
        <f t="shared" si="17"/>
        <v>Diciembre, 24</v>
      </c>
      <c r="M34" t="str">
        <f t="shared" si="17"/>
        <v>Enero, 25</v>
      </c>
      <c r="N34" t="str">
        <f t="shared" si="17"/>
        <v>Febrero, 25</v>
      </c>
      <c r="O34" t="str">
        <f t="shared" si="17"/>
        <v>Marzo, 25</v>
      </c>
      <c r="P34" t="str">
        <f t="shared" si="17"/>
        <v>Abril, 25</v>
      </c>
      <c r="Q34" t="str">
        <f t="shared" si="17"/>
        <v>Mayo, 25</v>
      </c>
      <c r="R34" t="str">
        <f t="shared" si="17"/>
        <v>Junio, 25</v>
      </c>
      <c r="S34" t="str">
        <f t="shared" si="17"/>
        <v>Julio, 25</v>
      </c>
      <c r="T34" t="str">
        <f t="shared" si="17"/>
        <v>Agosto, 25</v>
      </c>
      <c r="U34" t="str">
        <f t="shared" si="17"/>
        <v>Septiembre, 25</v>
      </c>
      <c r="V34" t="str">
        <f t="shared" si="17"/>
        <v>Octubre, 25</v>
      </c>
      <c r="W34" t="str">
        <f t="shared" si="17"/>
        <v>Noviembre, 25</v>
      </c>
      <c r="X34" t="str">
        <f t="shared" si="17"/>
        <v>Diciembre, 25</v>
      </c>
      <c r="Y34" t="str">
        <f t="shared" si="17"/>
        <v>Enero, 26</v>
      </c>
      <c r="Z34" t="str">
        <f t="shared" si="17"/>
        <v>Febrero, 26</v>
      </c>
      <c r="AA34" t="str">
        <f t="shared" si="17"/>
        <v>Marzo, 26</v>
      </c>
      <c r="AB34" t="str">
        <f>AB19</f>
        <v>Abril, 26</v>
      </c>
      <c r="AC34" t="s">
        <v>34</v>
      </c>
      <c r="AD34" t="s">
        <v>35</v>
      </c>
      <c r="AE34" t="s">
        <v>36</v>
      </c>
      <c r="AG34" s="9" t="s">
        <v>37</v>
      </c>
      <c r="AH34" s="9" t="s">
        <v>38</v>
      </c>
      <c r="AI34" s="9" t="s">
        <v>39</v>
      </c>
    </row>
    <row r="35" spans="1:35" x14ac:dyDescent="0.25">
      <c r="A35" t="s">
        <v>40</v>
      </c>
      <c r="B35">
        <v>57</v>
      </c>
      <c r="C35">
        <v>145</v>
      </c>
      <c r="D35">
        <v>129</v>
      </c>
      <c r="E35">
        <v>463</v>
      </c>
      <c r="F35">
        <v>350</v>
      </c>
      <c r="G35">
        <v>192</v>
      </c>
      <c r="H35">
        <v>1112</v>
      </c>
      <c r="I35">
        <v>1353</v>
      </c>
      <c r="J35">
        <v>1142</v>
      </c>
      <c r="K35">
        <v>846</v>
      </c>
      <c r="L35">
        <v>755</v>
      </c>
      <c r="M35">
        <v>202</v>
      </c>
      <c r="N35">
        <v>207</v>
      </c>
      <c r="O35" s="10">
        <v>491</v>
      </c>
      <c r="P35" s="10">
        <v>749</v>
      </c>
      <c r="Q35" s="10">
        <v>361</v>
      </c>
      <c r="R35" s="10">
        <v>576</v>
      </c>
      <c r="S35">
        <v>699</v>
      </c>
      <c r="T35">
        <v>827</v>
      </c>
      <c r="U35">
        <v>676</v>
      </c>
      <c r="V35">
        <v>688</v>
      </c>
      <c r="W35">
        <v>554</v>
      </c>
      <c r="X35">
        <v>908</v>
      </c>
      <c r="Y35">
        <v>922</v>
      </c>
      <c r="Z35">
        <v>635</v>
      </c>
      <c r="AA35">
        <v>980</v>
      </c>
      <c r="AB35">
        <v>834</v>
      </c>
      <c r="AC35">
        <v>667</v>
      </c>
      <c r="AD35">
        <v>748</v>
      </c>
      <c r="AE35">
        <v>298</v>
      </c>
      <c r="AG35" s="12">
        <f>IFERROR(AVERAGE(F42:AD42),"0")</f>
        <v>1.3748365949726664E-2</v>
      </c>
      <c r="AH35" s="12">
        <f>IFERROR(AVERAGE(Y42:AD42),"0")</f>
        <v>1.1774731869024196E-2</v>
      </c>
      <c r="AI35" s="12">
        <f>IFERROR(AVERAGE(AB42:AD42),"0")</f>
        <v>1.0814622760818515E-2</v>
      </c>
    </row>
    <row r="36" spans="1:35" x14ac:dyDescent="0.25">
      <c r="A36" t="s">
        <v>41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3"/>
      <c r="P36" s="33"/>
      <c r="Q36" s="33"/>
      <c r="R36" s="33"/>
      <c r="T36">
        <v>239</v>
      </c>
      <c r="U36">
        <v>344</v>
      </c>
      <c r="V36">
        <v>329</v>
      </c>
      <c r="W36">
        <v>342</v>
      </c>
      <c r="X36">
        <v>594</v>
      </c>
      <c r="Y36">
        <v>674</v>
      </c>
      <c r="Z36">
        <v>457</v>
      </c>
      <c r="AA36">
        <v>618</v>
      </c>
      <c r="AB36">
        <v>179</v>
      </c>
      <c r="AC36">
        <v>170</v>
      </c>
      <c r="AD36">
        <v>200</v>
      </c>
      <c r="AE36">
        <v>64</v>
      </c>
      <c r="AG36" s="13"/>
      <c r="AH36" s="13"/>
      <c r="AI36" s="13"/>
    </row>
    <row r="37" spans="1:35" x14ac:dyDescent="0.25">
      <c r="A37" t="s">
        <v>42</v>
      </c>
      <c r="B37" s="25" t="s">
        <v>1</v>
      </c>
      <c r="C37" s="25" t="s">
        <v>1</v>
      </c>
      <c r="D37" s="25" t="s">
        <v>1</v>
      </c>
      <c r="E37" s="25" t="s">
        <v>1</v>
      </c>
      <c r="F37" s="25" t="s">
        <v>1</v>
      </c>
      <c r="G37" s="25" t="s">
        <v>1</v>
      </c>
      <c r="H37" s="25" t="s">
        <v>1</v>
      </c>
      <c r="I37" s="25" t="s">
        <v>1</v>
      </c>
      <c r="J37" s="25" t="s">
        <v>1</v>
      </c>
      <c r="K37" s="25" t="s">
        <v>1</v>
      </c>
      <c r="L37" t="s">
        <v>1</v>
      </c>
      <c r="M37">
        <v>21</v>
      </c>
      <c r="N37">
        <v>28</v>
      </c>
      <c r="O37" s="34">
        <v>13</v>
      </c>
      <c r="P37" s="34">
        <v>6</v>
      </c>
      <c r="Q37" s="34">
        <v>15</v>
      </c>
      <c r="R37" s="34">
        <v>19</v>
      </c>
      <c r="S37">
        <v>29</v>
      </c>
      <c r="T37">
        <v>29</v>
      </c>
      <c r="U37">
        <v>36</v>
      </c>
      <c r="V37">
        <v>50</v>
      </c>
      <c r="W37">
        <v>42</v>
      </c>
      <c r="X37">
        <v>39</v>
      </c>
      <c r="Y37">
        <v>23</v>
      </c>
      <c r="Z37">
        <v>21</v>
      </c>
      <c r="AA37">
        <v>16</v>
      </c>
      <c r="AB37">
        <v>32</v>
      </c>
      <c r="AC37">
        <v>30</v>
      </c>
      <c r="AD37">
        <v>28</v>
      </c>
      <c r="AE37">
        <v>3</v>
      </c>
      <c r="AG37" s="41" t="s">
        <v>43</v>
      </c>
      <c r="AH37" s="41"/>
      <c r="AI37" s="41"/>
    </row>
    <row r="38" spans="1:35" ht="30" x14ac:dyDescent="0.25">
      <c r="A38" t="s">
        <v>44</v>
      </c>
      <c r="B38" s="25" t="s">
        <v>1</v>
      </c>
      <c r="C38" s="25" t="s">
        <v>1</v>
      </c>
      <c r="D38" s="28" t="s">
        <v>1</v>
      </c>
      <c r="E38" s="28" t="s">
        <v>1</v>
      </c>
      <c r="F38" s="28" t="s">
        <v>1</v>
      </c>
      <c r="G38" s="28" t="s">
        <v>1</v>
      </c>
      <c r="H38" s="28" t="s">
        <v>1</v>
      </c>
      <c r="I38" s="28">
        <v>8</v>
      </c>
      <c r="J38" s="28">
        <v>7</v>
      </c>
      <c r="K38" s="28">
        <v>17</v>
      </c>
      <c r="L38" s="28">
        <v>28</v>
      </c>
      <c r="M38" s="28">
        <v>22</v>
      </c>
      <c r="N38" s="28">
        <v>24</v>
      </c>
      <c r="O38" s="29">
        <v>16</v>
      </c>
      <c r="P38" s="29">
        <v>17</v>
      </c>
      <c r="Q38" s="29">
        <v>26</v>
      </c>
      <c r="R38" s="29">
        <v>21</v>
      </c>
      <c r="S38">
        <v>33</v>
      </c>
      <c r="T38">
        <v>31</v>
      </c>
      <c r="U38">
        <v>31</v>
      </c>
      <c r="V38">
        <v>32</v>
      </c>
      <c r="W38">
        <v>22</v>
      </c>
      <c r="X38">
        <v>23</v>
      </c>
      <c r="Y38">
        <v>22</v>
      </c>
      <c r="Z38">
        <v>22</v>
      </c>
      <c r="AA38">
        <v>25</v>
      </c>
      <c r="AB38">
        <v>35</v>
      </c>
      <c r="AC38">
        <v>35</v>
      </c>
      <c r="AD38">
        <v>28</v>
      </c>
      <c r="AE38">
        <v>12</v>
      </c>
      <c r="AG38" s="9" t="s">
        <v>37</v>
      </c>
      <c r="AH38" s="9" t="s">
        <v>38</v>
      </c>
      <c r="AI38" s="9" t="s">
        <v>39</v>
      </c>
    </row>
    <row r="39" spans="1:35" x14ac:dyDescent="0.25">
      <c r="A39" t="s">
        <v>61</v>
      </c>
      <c r="B39" s="25">
        <v>3</v>
      </c>
      <c r="C39" s="25">
        <v>6</v>
      </c>
      <c r="D39" s="28">
        <v>23</v>
      </c>
      <c r="E39" s="28">
        <v>43</v>
      </c>
      <c r="F39" s="28">
        <v>43</v>
      </c>
      <c r="G39" s="28">
        <v>36</v>
      </c>
      <c r="H39" s="28">
        <v>57</v>
      </c>
      <c r="I39" s="28">
        <v>107</v>
      </c>
      <c r="J39" s="28">
        <v>83</v>
      </c>
      <c r="K39" s="28">
        <v>71</v>
      </c>
      <c r="L39" s="28">
        <v>50</v>
      </c>
      <c r="M39" s="28">
        <v>74</v>
      </c>
      <c r="N39" s="28">
        <v>45</v>
      </c>
      <c r="O39" s="29">
        <v>25</v>
      </c>
      <c r="P39" s="29">
        <v>47</v>
      </c>
      <c r="Q39" s="29">
        <v>37</v>
      </c>
      <c r="R39" s="29">
        <v>69</v>
      </c>
      <c r="S39">
        <v>89</v>
      </c>
      <c r="T39">
        <v>135</v>
      </c>
      <c r="U39">
        <v>125</v>
      </c>
      <c r="V39">
        <v>110</v>
      </c>
      <c r="W39">
        <v>97</v>
      </c>
      <c r="X39">
        <v>90</v>
      </c>
      <c r="Y39">
        <v>110</v>
      </c>
      <c r="Z39">
        <v>85</v>
      </c>
      <c r="AA39">
        <v>78</v>
      </c>
      <c r="AB39">
        <v>83</v>
      </c>
      <c r="AC39">
        <v>140</v>
      </c>
      <c r="AD39">
        <v>101</v>
      </c>
      <c r="AE39">
        <v>26</v>
      </c>
      <c r="AG39" s="12">
        <f>IFERROR(AVERAGE(F43:AD43),"0")</f>
        <v>0.26910184417424915</v>
      </c>
      <c r="AH39" s="12">
        <f>IFERROR(AVERAGE(Y43:AD43),"0")</f>
        <v>0.24997944406688646</v>
      </c>
      <c r="AI39" s="12">
        <f>IFERROR(AVERAGE(AB43:AD43),"0")</f>
        <v>0.20487804878048785</v>
      </c>
    </row>
    <row r="40" spans="1:35" x14ac:dyDescent="0.25">
      <c r="A40" t="s">
        <v>46</v>
      </c>
      <c r="B40" s="25">
        <v>2</v>
      </c>
      <c r="C40" s="25">
        <v>5</v>
      </c>
      <c r="D40" s="28">
        <v>5</v>
      </c>
      <c r="E40" s="28">
        <v>23</v>
      </c>
      <c r="F40" s="28">
        <v>19</v>
      </c>
      <c r="G40" s="28">
        <v>14</v>
      </c>
      <c r="H40" s="28">
        <v>18</v>
      </c>
      <c r="I40" s="28">
        <v>27</v>
      </c>
      <c r="J40" s="28">
        <v>33</v>
      </c>
      <c r="K40" s="28">
        <v>18</v>
      </c>
      <c r="L40" s="28">
        <v>27</v>
      </c>
      <c r="M40" s="28">
        <v>37</v>
      </c>
      <c r="N40" s="28">
        <v>30</v>
      </c>
      <c r="O40" s="29">
        <v>19</v>
      </c>
      <c r="P40" s="29">
        <v>33</v>
      </c>
      <c r="Q40" s="29">
        <v>32</v>
      </c>
      <c r="R40" s="29">
        <v>34</v>
      </c>
      <c r="S40">
        <v>45</v>
      </c>
      <c r="T40">
        <v>51</v>
      </c>
      <c r="U40">
        <v>73</v>
      </c>
      <c r="V40">
        <v>60</v>
      </c>
      <c r="W40">
        <v>55</v>
      </c>
      <c r="X40">
        <v>51</v>
      </c>
      <c r="Y40">
        <v>56</v>
      </c>
      <c r="Z40">
        <v>43</v>
      </c>
      <c r="AA40">
        <v>36</v>
      </c>
      <c r="AB40">
        <v>59</v>
      </c>
      <c r="AC40">
        <v>103</v>
      </c>
      <c r="AD40">
        <v>53</v>
      </c>
      <c r="AE40">
        <v>15</v>
      </c>
    </row>
    <row r="41" spans="1:35" x14ac:dyDescent="0.25">
      <c r="A41" t="s">
        <v>47</v>
      </c>
      <c r="B41" s="30"/>
      <c r="C41" s="30">
        <v>1</v>
      </c>
      <c r="D41" s="30"/>
      <c r="E41" s="30"/>
      <c r="F41" s="30">
        <v>1</v>
      </c>
      <c r="G41">
        <v>2</v>
      </c>
      <c r="I41">
        <v>6</v>
      </c>
      <c r="J41">
        <v>1</v>
      </c>
      <c r="K41">
        <v>5</v>
      </c>
      <c r="L41">
        <v>10</v>
      </c>
      <c r="M41">
        <v>9</v>
      </c>
      <c r="N41">
        <v>4</v>
      </c>
      <c r="O41" s="34">
        <v>12</v>
      </c>
      <c r="P41" s="34">
        <v>5</v>
      </c>
      <c r="Q41" s="34">
        <v>9</v>
      </c>
      <c r="R41" s="34">
        <v>12</v>
      </c>
      <c r="S41">
        <v>9</v>
      </c>
      <c r="T41">
        <v>9</v>
      </c>
      <c r="U41">
        <v>15</v>
      </c>
      <c r="V41">
        <v>10</v>
      </c>
      <c r="W41">
        <v>14</v>
      </c>
      <c r="X41">
        <v>8</v>
      </c>
      <c r="Y41">
        <v>6</v>
      </c>
      <c r="Z41">
        <v>13</v>
      </c>
      <c r="AA41">
        <v>11</v>
      </c>
      <c r="AB41">
        <v>8</v>
      </c>
      <c r="AC41">
        <v>9</v>
      </c>
      <c r="AD41">
        <v>7</v>
      </c>
      <c r="AE41">
        <v>1</v>
      </c>
      <c r="AG41" s="41" t="s">
        <v>62</v>
      </c>
      <c r="AH41" s="41"/>
      <c r="AI41" s="41"/>
    </row>
    <row r="42" spans="1:35" x14ac:dyDescent="0.25">
      <c r="A42" s="7" t="s">
        <v>49</v>
      </c>
      <c r="B42" s="15">
        <f>IFERROR(B41/B35,0)</f>
        <v>0</v>
      </c>
      <c r="C42" s="15">
        <f t="shared" ref="C42:AE42" si="18">IFERROR(C41/C35,0)</f>
        <v>6.8965517241379309E-3</v>
      </c>
      <c r="D42" s="15">
        <f t="shared" si="18"/>
        <v>0</v>
      </c>
      <c r="E42" s="15">
        <f t="shared" si="18"/>
        <v>0</v>
      </c>
      <c r="F42" s="15">
        <f t="shared" si="18"/>
        <v>2.8571428571428571E-3</v>
      </c>
      <c r="G42" s="15">
        <f t="shared" si="18"/>
        <v>1.0416666666666666E-2</v>
      </c>
      <c r="H42" s="15">
        <f t="shared" si="18"/>
        <v>0</v>
      </c>
      <c r="I42" s="15">
        <f t="shared" si="18"/>
        <v>4.434589800443459E-3</v>
      </c>
      <c r="J42" s="15">
        <f t="shared" si="18"/>
        <v>8.7565674255691769E-4</v>
      </c>
      <c r="K42" s="15">
        <f t="shared" si="18"/>
        <v>5.9101654846335696E-3</v>
      </c>
      <c r="L42" s="15">
        <f t="shared" si="18"/>
        <v>1.3245033112582781E-2</v>
      </c>
      <c r="M42" s="15">
        <f t="shared" si="18"/>
        <v>4.4554455445544552E-2</v>
      </c>
      <c r="N42" s="15">
        <f t="shared" si="18"/>
        <v>1.932367149758454E-2</v>
      </c>
      <c r="O42" s="15">
        <f t="shared" si="18"/>
        <v>2.4439918533604887E-2</v>
      </c>
      <c r="P42" s="15">
        <f t="shared" si="18"/>
        <v>6.6755674232309749E-3</v>
      </c>
      <c r="Q42" s="15">
        <f t="shared" si="18"/>
        <v>2.4930747922437674E-2</v>
      </c>
      <c r="R42" s="15">
        <f t="shared" si="18"/>
        <v>2.0833333333333332E-2</v>
      </c>
      <c r="S42" s="15">
        <f t="shared" si="18"/>
        <v>1.2875536480686695E-2</v>
      </c>
      <c r="T42" s="15">
        <f t="shared" si="18"/>
        <v>1.0882708585247884E-2</v>
      </c>
      <c r="U42" s="16">
        <f t="shared" si="18"/>
        <v>2.2189349112426034E-2</v>
      </c>
      <c r="V42" s="16">
        <f t="shared" si="18"/>
        <v>1.4534883720930232E-2</v>
      </c>
      <c r="W42" s="16">
        <f t="shared" si="18"/>
        <v>2.5270758122743681E-2</v>
      </c>
      <c r="X42" s="16">
        <f t="shared" si="18"/>
        <v>8.8105726872246704E-3</v>
      </c>
      <c r="Y42" s="16">
        <f t="shared" si="18"/>
        <v>6.5075921908893707E-3</v>
      </c>
      <c r="Z42" s="16">
        <f t="shared" si="18"/>
        <v>2.0472440944881889E-2</v>
      </c>
      <c r="AA42" s="16">
        <f t="shared" si="18"/>
        <v>1.1224489795918367E-2</v>
      </c>
      <c r="AB42" s="16">
        <f t="shared" si="18"/>
        <v>9.5923261390887284E-3</v>
      </c>
      <c r="AC42" s="16">
        <f t="shared" si="18"/>
        <v>1.3493253373313344E-2</v>
      </c>
      <c r="AD42" s="16">
        <f t="shared" si="18"/>
        <v>9.3582887700534752E-3</v>
      </c>
      <c r="AE42" s="16">
        <f t="shared" si="18"/>
        <v>3.3557046979865771E-3</v>
      </c>
      <c r="AG42" s="13" t="s">
        <v>50</v>
      </c>
      <c r="AH42" s="13" t="s">
        <v>51</v>
      </c>
      <c r="AI42" s="13" t="s">
        <v>52</v>
      </c>
    </row>
    <row r="43" spans="1:35" ht="15.75" thickBot="1" x14ac:dyDescent="0.3">
      <c r="A43" s="7" t="s">
        <v>53</v>
      </c>
      <c r="B43" s="17" t="e">
        <f t="shared" ref="B43:R43" si="19">B41/B4</f>
        <v>#VALUE!</v>
      </c>
      <c r="C43" s="17">
        <f t="shared" si="19"/>
        <v>8.3333333333333329E-2</v>
      </c>
      <c r="D43" s="17">
        <f t="shared" si="19"/>
        <v>0</v>
      </c>
      <c r="E43" s="17">
        <f t="shared" si="19"/>
        <v>0</v>
      </c>
      <c r="F43" s="15">
        <f t="shared" si="19"/>
        <v>7.6923076923076927E-2</v>
      </c>
      <c r="G43" s="15">
        <f t="shared" si="19"/>
        <v>0.33333333333333331</v>
      </c>
      <c r="H43" s="15">
        <f t="shared" si="19"/>
        <v>0</v>
      </c>
      <c r="I43" s="15">
        <f t="shared" si="19"/>
        <v>0.35294117647058826</v>
      </c>
      <c r="J43" s="15">
        <f t="shared" si="19"/>
        <v>5.8823529411764705E-2</v>
      </c>
      <c r="K43" s="15">
        <f t="shared" si="19"/>
        <v>0.21739130434782608</v>
      </c>
      <c r="L43" s="15">
        <f t="shared" si="19"/>
        <v>0.45454545454545453</v>
      </c>
      <c r="M43" s="15">
        <f t="shared" si="19"/>
        <v>0.28125</v>
      </c>
      <c r="N43" s="15">
        <f t="shared" si="19"/>
        <v>0.15384615384615385</v>
      </c>
      <c r="O43" s="15">
        <f t="shared" si="19"/>
        <v>0.6</v>
      </c>
      <c r="P43" s="15">
        <f t="shared" si="19"/>
        <v>0.16666666666666666</v>
      </c>
      <c r="Q43" s="15">
        <f t="shared" si="19"/>
        <v>0.3</v>
      </c>
      <c r="R43" s="15">
        <f t="shared" si="19"/>
        <v>0.35294117647058826</v>
      </c>
      <c r="S43" s="15">
        <f t="shared" ref="S43:Z43" si="20">IFERROR((S41/S4),"0%")</f>
        <v>0.22500000000000001</v>
      </c>
      <c r="T43" s="15">
        <f t="shared" si="20"/>
        <v>0.25</v>
      </c>
      <c r="U43" s="16">
        <f t="shared" si="20"/>
        <v>0.55555555555555558</v>
      </c>
      <c r="V43" s="16">
        <f t="shared" si="20"/>
        <v>0.26315789473684209</v>
      </c>
      <c r="W43" s="16">
        <f t="shared" si="20"/>
        <v>0.35</v>
      </c>
      <c r="X43" s="16">
        <f t="shared" si="20"/>
        <v>0.23529411764705882</v>
      </c>
      <c r="Y43" s="16">
        <f t="shared" si="20"/>
        <v>0.17647058823529413</v>
      </c>
      <c r="Z43" s="16">
        <f t="shared" si="20"/>
        <v>0.34210526315789475</v>
      </c>
      <c r="AA43" s="16">
        <f>IFERROR((AA41/AA4),"0%")</f>
        <v>0.36666666666666664</v>
      </c>
      <c r="AB43" s="16">
        <f>IFERROR((AB41/AB4),"0%")</f>
        <v>0.1951219512195122</v>
      </c>
      <c r="AC43" s="16">
        <f>IFERROR((AC41/AC4),"0%")</f>
        <v>0.21951219512195122</v>
      </c>
      <c r="AD43" s="16">
        <f>IFERROR((AD41/AD4),"0%")</f>
        <v>0.2</v>
      </c>
      <c r="AE43" s="16">
        <f>IFERROR((AE41/AE4),"0%")</f>
        <v>2.7027027027027029E-2</v>
      </c>
      <c r="AG43" s="18">
        <f>IFERROR(AVERAGE(Y41:AD41)-STDEV(Y41:AD41),"0")</f>
        <v>6.3923190379189405</v>
      </c>
      <c r="AH43" s="18">
        <f>IFERROR(AVERAGE(Y41:AD41),"0")</f>
        <v>9</v>
      </c>
      <c r="AI43" s="18">
        <f>IFERROR(AVERAGE(Y41:AD41)+STDEV(Y41:AD41),"0")</f>
        <v>11.607680962081059</v>
      </c>
    </row>
    <row r="44" spans="1:35" ht="35.25" thickBot="1" x14ac:dyDescent="0.3">
      <c r="M44" s="19"/>
      <c r="N44" s="20" t="s">
        <v>54</v>
      </c>
      <c r="O44" s="21">
        <f>AVERAGE(F42:AB42)</f>
        <v>1.3950330721730426E-2</v>
      </c>
      <c r="P44" s="20" t="s">
        <v>55</v>
      </c>
      <c r="Q44" s="21">
        <f>AVERAGE(G43:AB43)</f>
        <v>0.28323231055959996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G44" s="35"/>
      <c r="AH44" s="35"/>
      <c r="AI44" s="36"/>
    </row>
    <row r="45" spans="1:35" x14ac:dyDescent="0.25">
      <c r="D45" s="20"/>
      <c r="E45" s="12"/>
      <c r="F45" s="20"/>
      <c r="G45" s="12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5" x14ac:dyDescent="0.25">
      <c r="A46" s="40" t="s">
        <v>60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8"/>
      <c r="Y46" s="8"/>
      <c r="Z46" s="8"/>
      <c r="AA46" s="8"/>
      <c r="AB46" s="8"/>
      <c r="AC46" s="8"/>
      <c r="AD46" s="8"/>
      <c r="AE46" s="8"/>
    </row>
    <row r="47" spans="1:35" x14ac:dyDescent="0.25">
      <c r="A47" t="s">
        <v>63</v>
      </c>
      <c r="B47" t="s">
        <v>64</v>
      </c>
      <c r="C47" t="s">
        <v>65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s">
        <v>72</v>
      </c>
      <c r="K47" t="s">
        <v>73</v>
      </c>
      <c r="L47" t="s">
        <v>74</v>
      </c>
      <c r="M47" t="s">
        <v>75</v>
      </c>
      <c r="N47" t="s">
        <v>64</v>
      </c>
      <c r="O47" t="s">
        <v>65</v>
      </c>
      <c r="P47" t="s">
        <v>76</v>
      </c>
      <c r="Q47" s="28" t="s">
        <v>67</v>
      </c>
      <c r="R47" s="28" t="s">
        <v>77</v>
      </c>
      <c r="S47" t="s">
        <v>78</v>
      </c>
      <c r="T47" t="s">
        <v>70</v>
      </c>
      <c r="U47" t="s">
        <v>71</v>
      </c>
      <c r="V47" t="s">
        <v>72</v>
      </c>
      <c r="W47" t="s">
        <v>79</v>
      </c>
      <c r="X47" t="s">
        <v>74</v>
      </c>
      <c r="Y47" t="s">
        <v>80</v>
      </c>
    </row>
    <row r="48" spans="1:35" x14ac:dyDescent="0.25">
      <c r="A48" t="s">
        <v>40</v>
      </c>
      <c r="B48" s="25" t="s">
        <v>1</v>
      </c>
      <c r="C48" s="25" t="s">
        <v>1</v>
      </c>
      <c r="D48" s="25" t="s">
        <v>1</v>
      </c>
      <c r="E48" s="25" t="s">
        <v>1</v>
      </c>
      <c r="F48" s="25" t="s">
        <v>1</v>
      </c>
      <c r="G48" s="25" t="s">
        <v>1</v>
      </c>
      <c r="H48" s="25" t="s">
        <v>1</v>
      </c>
      <c r="I48" s="25" t="s">
        <v>1</v>
      </c>
      <c r="J48" s="25" t="s">
        <v>1</v>
      </c>
      <c r="K48" s="25" t="s">
        <v>1</v>
      </c>
      <c r="L48" s="25" t="s">
        <v>1</v>
      </c>
      <c r="M48" s="25" t="s">
        <v>1</v>
      </c>
      <c r="N48" s="25" t="s">
        <v>1</v>
      </c>
      <c r="O48" s="25" t="s">
        <v>1</v>
      </c>
      <c r="P48" s="25" t="s">
        <v>1</v>
      </c>
      <c r="Q48" s="25" t="s">
        <v>1</v>
      </c>
      <c r="R48" s="25" t="s">
        <v>1</v>
      </c>
      <c r="S48" s="25" t="s">
        <v>1</v>
      </c>
      <c r="T48" s="25" t="s">
        <v>1</v>
      </c>
      <c r="U48" s="25" t="s">
        <v>1</v>
      </c>
      <c r="V48" s="25" t="s">
        <v>1</v>
      </c>
      <c r="W48" s="25" t="s">
        <v>1</v>
      </c>
      <c r="X48" s="25" t="s">
        <v>1</v>
      </c>
      <c r="Y48">
        <v>23</v>
      </c>
    </row>
    <row r="49" spans="1:33" x14ac:dyDescent="0.25">
      <c r="A49" t="s">
        <v>41</v>
      </c>
      <c r="B49" s="25" t="s">
        <v>1</v>
      </c>
      <c r="C49" s="25" t="s">
        <v>1</v>
      </c>
      <c r="D49" s="25" t="s">
        <v>1</v>
      </c>
      <c r="E49" s="25" t="s">
        <v>1</v>
      </c>
      <c r="F49" s="25" t="s">
        <v>1</v>
      </c>
      <c r="G49" s="25" t="s">
        <v>1</v>
      </c>
      <c r="H49" s="25" t="s">
        <v>1</v>
      </c>
      <c r="I49" s="25" t="s">
        <v>1</v>
      </c>
      <c r="J49" s="25" t="s">
        <v>1</v>
      </c>
      <c r="K49" s="25" t="s">
        <v>1</v>
      </c>
      <c r="L49" s="25" t="s">
        <v>1</v>
      </c>
      <c r="M49" s="25" t="s">
        <v>1</v>
      </c>
      <c r="N49" s="25" t="s">
        <v>1</v>
      </c>
      <c r="O49" s="25" t="s">
        <v>1</v>
      </c>
      <c r="P49" s="25" t="s">
        <v>1</v>
      </c>
      <c r="Q49" s="25" t="s">
        <v>1</v>
      </c>
      <c r="R49" s="25" t="s">
        <v>1</v>
      </c>
      <c r="S49" s="25" t="s">
        <v>1</v>
      </c>
      <c r="T49" s="25" t="s">
        <v>1</v>
      </c>
      <c r="U49" s="25" t="s">
        <v>1</v>
      </c>
      <c r="V49" s="25" t="s">
        <v>1</v>
      </c>
      <c r="W49" s="25" t="s">
        <v>1</v>
      </c>
      <c r="X49" s="25" t="s">
        <v>1</v>
      </c>
      <c r="Y49">
        <v>23</v>
      </c>
    </row>
    <row r="50" spans="1:33" x14ac:dyDescent="0.25">
      <c r="A50" t="s">
        <v>42</v>
      </c>
      <c r="B50" s="25" t="s">
        <v>1</v>
      </c>
      <c r="C50" s="25" t="s">
        <v>1</v>
      </c>
      <c r="D50" s="25" t="s">
        <v>1</v>
      </c>
      <c r="E50" s="25" t="s">
        <v>1</v>
      </c>
      <c r="F50" s="25" t="s">
        <v>1</v>
      </c>
      <c r="G50" s="25" t="s">
        <v>1</v>
      </c>
      <c r="H50" s="25" t="s">
        <v>1</v>
      </c>
      <c r="I50" s="25" t="s">
        <v>1</v>
      </c>
      <c r="J50" s="25" t="s">
        <v>1</v>
      </c>
      <c r="K50" s="25" t="s">
        <v>1</v>
      </c>
      <c r="L50" s="25" t="s">
        <v>1</v>
      </c>
      <c r="M50" s="25" t="s">
        <v>1</v>
      </c>
      <c r="N50" s="25" t="s">
        <v>1</v>
      </c>
      <c r="O50" s="25" t="s">
        <v>1</v>
      </c>
      <c r="P50" s="25" t="s">
        <v>1</v>
      </c>
      <c r="Q50" s="25" t="s">
        <v>1</v>
      </c>
      <c r="R50" s="25" t="s">
        <v>1</v>
      </c>
      <c r="S50" s="25" t="s">
        <v>1</v>
      </c>
      <c r="T50" s="25" t="s">
        <v>1</v>
      </c>
      <c r="U50" s="25" t="s">
        <v>1</v>
      </c>
      <c r="V50" s="25" t="s">
        <v>1</v>
      </c>
      <c r="W50" s="25" t="s">
        <v>1</v>
      </c>
      <c r="X50" s="25" t="s">
        <v>1</v>
      </c>
      <c r="Y50">
        <v>2</v>
      </c>
    </row>
    <row r="51" spans="1:33" x14ac:dyDescent="0.25">
      <c r="A51" t="s">
        <v>44</v>
      </c>
      <c r="B51" s="25" t="s">
        <v>1</v>
      </c>
      <c r="C51" s="25" t="s">
        <v>1</v>
      </c>
      <c r="D51" s="25" t="s">
        <v>1</v>
      </c>
      <c r="E51" s="25" t="s">
        <v>1</v>
      </c>
      <c r="F51" s="25" t="s">
        <v>1</v>
      </c>
      <c r="G51" s="25" t="s">
        <v>1</v>
      </c>
      <c r="H51" s="25" t="s">
        <v>1</v>
      </c>
      <c r="I51" s="25" t="s">
        <v>1</v>
      </c>
      <c r="J51" s="25" t="s">
        <v>1</v>
      </c>
      <c r="K51" s="25" t="s">
        <v>1</v>
      </c>
      <c r="L51" s="25" t="s">
        <v>1</v>
      </c>
      <c r="M51" s="25" t="s">
        <v>1</v>
      </c>
      <c r="N51" s="25" t="s">
        <v>1</v>
      </c>
      <c r="O51" s="25" t="s">
        <v>1</v>
      </c>
      <c r="P51" s="25" t="s">
        <v>1</v>
      </c>
      <c r="Q51" s="25" t="s">
        <v>1</v>
      </c>
      <c r="R51" s="25" t="s">
        <v>1</v>
      </c>
      <c r="S51" s="25" t="s">
        <v>1</v>
      </c>
      <c r="T51" s="25" t="s">
        <v>1</v>
      </c>
      <c r="U51" s="25" t="s">
        <v>1</v>
      </c>
      <c r="V51" s="25" t="s">
        <v>1</v>
      </c>
      <c r="W51" s="25" t="s">
        <v>1</v>
      </c>
      <c r="X51" s="25" t="s">
        <v>1</v>
      </c>
      <c r="Y51">
        <v>6</v>
      </c>
    </row>
    <row r="52" spans="1:33" x14ac:dyDescent="0.25">
      <c r="A52" t="s">
        <v>61</v>
      </c>
      <c r="B52" s="25" t="s">
        <v>1</v>
      </c>
      <c r="C52" s="25" t="s">
        <v>1</v>
      </c>
      <c r="D52" s="25" t="s">
        <v>1</v>
      </c>
      <c r="E52" s="25" t="s">
        <v>1</v>
      </c>
      <c r="F52" s="25" t="s">
        <v>1</v>
      </c>
      <c r="G52" s="25" t="s">
        <v>1</v>
      </c>
      <c r="H52" s="25" t="s">
        <v>1</v>
      </c>
      <c r="I52" s="25" t="s">
        <v>1</v>
      </c>
      <c r="J52" s="25" t="s">
        <v>1</v>
      </c>
      <c r="K52" s="25" t="s">
        <v>1</v>
      </c>
      <c r="L52" s="25" t="s">
        <v>1</v>
      </c>
      <c r="M52" s="25" t="s">
        <v>1</v>
      </c>
      <c r="N52" s="25" t="s">
        <v>1</v>
      </c>
      <c r="O52" s="25" t="s">
        <v>1</v>
      </c>
      <c r="P52" s="25" t="s">
        <v>1</v>
      </c>
      <c r="Q52" s="25" t="s">
        <v>1</v>
      </c>
      <c r="R52" s="25" t="s">
        <v>1</v>
      </c>
      <c r="S52" s="25" t="s">
        <v>1</v>
      </c>
      <c r="T52" s="25" t="s">
        <v>1</v>
      </c>
      <c r="U52" s="25" t="s">
        <v>1</v>
      </c>
      <c r="V52" s="25" t="s">
        <v>1</v>
      </c>
      <c r="W52" s="25" t="s">
        <v>1</v>
      </c>
      <c r="X52" s="25" t="s">
        <v>1</v>
      </c>
      <c r="Y52">
        <v>15</v>
      </c>
    </row>
    <row r="53" spans="1:33" x14ac:dyDescent="0.25">
      <c r="A53" t="s">
        <v>46</v>
      </c>
      <c r="B53" s="25" t="s">
        <v>1</v>
      </c>
      <c r="C53" s="25" t="s">
        <v>1</v>
      </c>
      <c r="D53" s="25" t="s">
        <v>1</v>
      </c>
      <c r="E53" s="25" t="s">
        <v>1</v>
      </c>
      <c r="F53" s="25" t="s">
        <v>1</v>
      </c>
      <c r="G53" s="25" t="s">
        <v>1</v>
      </c>
      <c r="H53" s="25" t="s">
        <v>1</v>
      </c>
      <c r="I53" s="25" t="s">
        <v>1</v>
      </c>
      <c r="J53" s="25" t="s">
        <v>1</v>
      </c>
      <c r="K53" s="25" t="s">
        <v>1</v>
      </c>
      <c r="L53" s="25" t="s">
        <v>1</v>
      </c>
      <c r="M53" s="25" t="s">
        <v>1</v>
      </c>
      <c r="N53" s="25" t="s">
        <v>1</v>
      </c>
      <c r="O53" s="25" t="s">
        <v>1</v>
      </c>
      <c r="P53" s="25" t="s">
        <v>1</v>
      </c>
      <c r="Q53" s="25" t="s">
        <v>1</v>
      </c>
      <c r="R53" s="25" t="s">
        <v>1</v>
      </c>
      <c r="S53" s="25" t="s">
        <v>1</v>
      </c>
      <c r="T53" s="25" t="s">
        <v>1</v>
      </c>
      <c r="U53" s="25" t="s">
        <v>1</v>
      </c>
      <c r="V53" s="25" t="s">
        <v>1</v>
      </c>
      <c r="W53" s="25" t="s">
        <v>1</v>
      </c>
      <c r="X53" s="25" t="s">
        <v>1</v>
      </c>
      <c r="Y53">
        <v>15</v>
      </c>
    </row>
    <row r="54" spans="1:33" x14ac:dyDescent="0.25">
      <c r="A54" t="s">
        <v>47</v>
      </c>
      <c r="B54" s="25" t="s">
        <v>1</v>
      </c>
      <c r="C54" s="25" t="s">
        <v>1</v>
      </c>
      <c r="D54" s="25" t="s">
        <v>1</v>
      </c>
      <c r="E54" s="25" t="s">
        <v>1</v>
      </c>
      <c r="F54" s="25" t="s">
        <v>1</v>
      </c>
      <c r="G54" s="25" t="s">
        <v>1</v>
      </c>
      <c r="H54" s="25" t="s">
        <v>1</v>
      </c>
      <c r="I54" s="25" t="s">
        <v>1</v>
      </c>
      <c r="J54" s="25" t="s">
        <v>1</v>
      </c>
      <c r="K54" s="25" t="s">
        <v>1</v>
      </c>
      <c r="L54" s="25" t="s">
        <v>1</v>
      </c>
      <c r="M54" s="25" t="s">
        <v>1</v>
      </c>
      <c r="N54" s="25" t="s">
        <v>1</v>
      </c>
      <c r="O54" s="25" t="s">
        <v>1</v>
      </c>
      <c r="P54" s="25" t="s">
        <v>1</v>
      </c>
      <c r="Q54" s="25" t="s">
        <v>1</v>
      </c>
      <c r="R54" s="25" t="s">
        <v>1</v>
      </c>
      <c r="S54" s="25" t="s">
        <v>1</v>
      </c>
      <c r="T54" s="25" t="s">
        <v>1</v>
      </c>
      <c r="U54" s="25" t="s">
        <v>1</v>
      </c>
      <c r="V54" s="25" t="s">
        <v>1</v>
      </c>
      <c r="W54" s="25" t="s">
        <v>1</v>
      </c>
      <c r="X54" s="25" t="s">
        <v>1</v>
      </c>
      <c r="Y54">
        <v>10</v>
      </c>
    </row>
    <row r="55" spans="1:33" x14ac:dyDescent="0.25">
      <c r="A55" s="7" t="s">
        <v>49</v>
      </c>
      <c r="B55" s="25" t="s">
        <v>1</v>
      </c>
      <c r="C55" s="25" t="s">
        <v>1</v>
      </c>
      <c r="D55" s="25" t="s">
        <v>1</v>
      </c>
      <c r="E55" s="25" t="s">
        <v>1</v>
      </c>
      <c r="F55" s="25" t="s">
        <v>1</v>
      </c>
      <c r="G55" s="25" t="s">
        <v>1</v>
      </c>
      <c r="H55" s="25" t="s">
        <v>1</v>
      </c>
      <c r="I55" s="25" t="s">
        <v>1</v>
      </c>
      <c r="J55" s="25" t="s">
        <v>1</v>
      </c>
      <c r="K55" s="25" t="s">
        <v>1</v>
      </c>
      <c r="L55" s="25" t="s">
        <v>1</v>
      </c>
      <c r="M55" s="25" t="s">
        <v>1</v>
      </c>
      <c r="N55" s="25" t="s">
        <v>1</v>
      </c>
      <c r="O55" s="25" t="s">
        <v>1</v>
      </c>
      <c r="P55" s="25" t="s">
        <v>1</v>
      </c>
      <c r="Q55" s="25" t="s">
        <v>1</v>
      </c>
      <c r="R55" s="25" t="s">
        <v>1</v>
      </c>
      <c r="S55" s="25" t="s">
        <v>1</v>
      </c>
      <c r="T55" s="25" t="s">
        <v>1</v>
      </c>
      <c r="U55" s="25" t="s">
        <v>1</v>
      </c>
      <c r="V55" s="25" t="s">
        <v>1</v>
      </c>
      <c r="W55" s="25" t="s">
        <v>1</v>
      </c>
      <c r="X55" s="25" t="s">
        <v>1</v>
      </c>
      <c r="Y55" s="16">
        <f>IFERROR(Y54/Y48,0)</f>
        <v>0.43478260869565216</v>
      </c>
      <c r="Z55" s="16"/>
      <c r="AA55" s="16"/>
      <c r="AB55" s="16"/>
      <c r="AC55" s="16"/>
      <c r="AD55" s="16"/>
      <c r="AE55" s="16"/>
    </row>
    <row r="56" spans="1:33" ht="15.75" thickBot="1" x14ac:dyDescent="0.3">
      <c r="A56" s="7" t="s">
        <v>53</v>
      </c>
      <c r="B56" s="25" t="s">
        <v>1</v>
      </c>
      <c r="C56" s="25" t="s">
        <v>1</v>
      </c>
      <c r="D56" s="25" t="s">
        <v>1</v>
      </c>
      <c r="E56" s="25" t="s">
        <v>1</v>
      </c>
      <c r="F56" s="25" t="s">
        <v>1</v>
      </c>
      <c r="G56" s="25" t="s">
        <v>1</v>
      </c>
      <c r="H56" s="25" t="s">
        <v>1</v>
      </c>
      <c r="I56" s="25" t="s">
        <v>1</v>
      </c>
      <c r="J56" s="25" t="s">
        <v>1</v>
      </c>
      <c r="K56" s="25" t="s">
        <v>1</v>
      </c>
      <c r="L56" s="25" t="s">
        <v>1</v>
      </c>
      <c r="M56" s="25" t="s">
        <v>1</v>
      </c>
      <c r="N56" s="25" t="s">
        <v>1</v>
      </c>
      <c r="O56" s="25" t="s">
        <v>1</v>
      </c>
      <c r="P56" s="25" t="s">
        <v>1</v>
      </c>
      <c r="Q56" s="25" t="s">
        <v>1</v>
      </c>
      <c r="R56" s="25" t="s">
        <v>1</v>
      </c>
      <c r="S56" s="25" t="s">
        <v>1</v>
      </c>
      <c r="T56" s="25" t="s">
        <v>1</v>
      </c>
      <c r="U56" s="25" t="s">
        <v>1</v>
      </c>
      <c r="V56" s="25" t="s">
        <v>1</v>
      </c>
      <c r="W56" s="25" t="s">
        <v>1</v>
      </c>
      <c r="X56" s="25" t="s">
        <v>1</v>
      </c>
      <c r="Y56" s="16">
        <f>IFERROR((Y54/Y4),"0%")</f>
        <v>0.29411764705882354</v>
      </c>
      <c r="Z56" s="16"/>
      <c r="AA56" s="16"/>
      <c r="AB56" s="16"/>
      <c r="AC56" s="16"/>
      <c r="AD56" s="16"/>
      <c r="AE56" s="16"/>
    </row>
    <row r="57" spans="1:33" ht="35.25" thickBot="1" x14ac:dyDescent="0.3">
      <c r="D57" s="20" t="s">
        <v>54</v>
      </c>
      <c r="E57" s="21" t="e">
        <f>AVERAGE(F55:V55)</f>
        <v>#DIV/0!</v>
      </c>
      <c r="F57" s="20" t="s">
        <v>55</v>
      </c>
      <c r="G57" s="21" t="e">
        <f>AVERAGE(G56:V56)</f>
        <v>#DIV/0!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3" ht="15.75" thickBot="1" x14ac:dyDescent="0.3">
      <c r="L58" s="11">
        <f>IFERROR((L35/L41),"0")</f>
        <v>75.5</v>
      </c>
      <c r="M58" s="11">
        <f t="shared" ref="M58:AC58" si="21">IFERROR((M35/M41),"0")</f>
        <v>22.444444444444443</v>
      </c>
      <c r="N58" s="11">
        <f t="shared" si="21"/>
        <v>51.75</v>
      </c>
      <c r="O58" s="11">
        <f t="shared" si="21"/>
        <v>40.916666666666664</v>
      </c>
      <c r="P58" s="11">
        <f t="shared" si="21"/>
        <v>149.80000000000001</v>
      </c>
      <c r="Q58" s="11">
        <f t="shared" si="21"/>
        <v>40.111111111111114</v>
      </c>
      <c r="R58" s="11">
        <f t="shared" si="21"/>
        <v>48</v>
      </c>
      <c r="S58" s="11">
        <f t="shared" si="21"/>
        <v>77.666666666666671</v>
      </c>
      <c r="T58" s="11">
        <f t="shared" si="21"/>
        <v>91.888888888888886</v>
      </c>
      <c r="U58" s="11">
        <f t="shared" si="21"/>
        <v>45.06666666666667</v>
      </c>
      <c r="V58" s="11">
        <f t="shared" si="21"/>
        <v>68.8</v>
      </c>
      <c r="W58" s="11">
        <f t="shared" si="21"/>
        <v>39.571428571428569</v>
      </c>
      <c r="X58" s="11">
        <f t="shared" si="21"/>
        <v>113.5</v>
      </c>
      <c r="Y58" s="11">
        <f t="shared" si="21"/>
        <v>153.66666666666666</v>
      </c>
      <c r="Z58" s="11">
        <f t="shared" si="21"/>
        <v>48.846153846153847</v>
      </c>
      <c r="AA58" s="11">
        <f t="shared" si="21"/>
        <v>89.090909090909093</v>
      </c>
      <c r="AB58" s="11">
        <f t="shared" si="21"/>
        <v>104.25</v>
      </c>
      <c r="AC58" s="11">
        <f t="shared" si="21"/>
        <v>74.111111111111114</v>
      </c>
      <c r="AD58" s="11">
        <f>IFERROR((AD35/AD41),"0")</f>
        <v>106.85714285714286</v>
      </c>
      <c r="AE58" s="11"/>
    </row>
    <row r="59" spans="1:33" ht="15.75" thickBot="1" x14ac:dyDescent="0.3">
      <c r="A59" s="37" t="s">
        <v>81</v>
      </c>
      <c r="B59" s="38" t="str">
        <f>IFERROR(1-(B43+B30+B15),"")</f>
        <v/>
      </c>
      <c r="C59" s="38">
        <f t="shared" ref="C59:AD59" si="22">IFERROR(1-(C43+C30+C15),"")</f>
        <v>0.58333333333333337</v>
      </c>
      <c r="D59" s="38">
        <f t="shared" si="22"/>
        <v>-0.4285714285714286</v>
      </c>
      <c r="E59" s="38">
        <f t="shared" si="22"/>
        <v>0.875</v>
      </c>
      <c r="F59" s="38">
        <f t="shared" si="22"/>
        <v>0.69230769230769229</v>
      </c>
      <c r="G59" s="39">
        <f t="shared" si="22"/>
        <v>-1.3333333333333335</v>
      </c>
      <c r="H59" s="39">
        <f t="shared" si="22"/>
        <v>0.4285714285714286</v>
      </c>
      <c r="I59" s="39">
        <f t="shared" si="22"/>
        <v>0.29411764705882348</v>
      </c>
      <c r="J59" s="39">
        <f t="shared" si="22"/>
        <v>0.6470588235294118</v>
      </c>
      <c r="K59" s="39">
        <f t="shared" si="22"/>
        <v>0.17391304347826086</v>
      </c>
      <c r="L59" s="39">
        <f>IFERROR(1-(L43+L30+L15),"")</f>
        <v>-0.13636363636363624</v>
      </c>
      <c r="M59" s="39">
        <f t="shared" si="22"/>
        <v>0.28125</v>
      </c>
      <c r="N59" s="39">
        <f t="shared" si="22"/>
        <v>0.38461538461538458</v>
      </c>
      <c r="O59" s="39">
        <f t="shared" si="22"/>
        <v>-0.19999999999999996</v>
      </c>
      <c r="P59" s="39">
        <f t="shared" si="22"/>
        <v>0.1333333333333333</v>
      </c>
      <c r="Q59" s="39">
        <f t="shared" si="22"/>
        <v>0.1333333333333333</v>
      </c>
      <c r="R59" s="39">
        <f t="shared" si="22"/>
        <v>-2.941176470588247E-2</v>
      </c>
      <c r="S59" s="39">
        <f t="shared" si="22"/>
        <v>0.25</v>
      </c>
      <c r="T59" s="39">
        <f t="shared" si="22"/>
        <v>0.38888888888888895</v>
      </c>
      <c r="U59" s="39">
        <f t="shared" si="22"/>
        <v>-0.37037037037037046</v>
      </c>
      <c r="V59" s="39">
        <f t="shared" si="22"/>
        <v>0.13157894736842102</v>
      </c>
      <c r="W59" s="39">
        <f t="shared" si="22"/>
        <v>0.15000000000000002</v>
      </c>
      <c r="X59" s="39">
        <f t="shared" si="22"/>
        <v>0.23529411764705888</v>
      </c>
      <c r="Y59" s="39">
        <f t="shared" si="22"/>
        <v>0.47058823529411764</v>
      </c>
      <c r="Z59" s="39">
        <f t="shared" si="22"/>
        <v>0.31578947368421051</v>
      </c>
      <c r="AA59" s="39">
        <f t="shared" si="22"/>
        <v>0.1333333333333333</v>
      </c>
      <c r="AB59" s="39">
        <f t="shared" si="22"/>
        <v>0.41463414634146345</v>
      </c>
      <c r="AC59" s="39">
        <f t="shared" si="22"/>
        <v>0.3902439024390244</v>
      </c>
      <c r="AD59" s="39">
        <f t="shared" si="22"/>
        <v>0.19999999999999996</v>
      </c>
      <c r="AE59" s="22"/>
      <c r="AG59" s="24" t="s">
        <v>82</v>
      </c>
    </row>
  </sheetData>
  <protectedRanges>
    <protectedRange sqref="S5:U5 R31:U31 R1:R7 R60 R9:R16 S46:U46 R46:R47 Y55:AE56 R20:R29 R35:R43 R18 R33:U33 AF30 S14:AE15 S29:AE29 S42:AE43" name="Rango1"/>
  </protectedRanges>
  <mergeCells count="14">
    <mergeCell ref="A18:AC18"/>
    <mergeCell ref="AG18:AI18"/>
    <mergeCell ref="D2:G2"/>
    <mergeCell ref="A5:AB5"/>
    <mergeCell ref="AG5:AI5"/>
    <mergeCell ref="AG9:AI9"/>
    <mergeCell ref="AG13:AI13"/>
    <mergeCell ref="A46:W46"/>
    <mergeCell ref="AG22:AI22"/>
    <mergeCell ref="AG28:AI28"/>
    <mergeCell ref="A33:AB33"/>
    <mergeCell ref="AG33:AI33"/>
    <mergeCell ref="AG37:AI37"/>
    <mergeCell ref="AG41:AI41"/>
  </mergeCells>
  <conditionalFormatting sqref="F15:AE15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F30:AE3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43:AE4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31:M31 R31:U31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Y56:AE56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AF30"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Alfredo Garcia Suarez</cp:lastModifiedBy>
  <dcterms:created xsi:type="dcterms:W3CDTF">2026-08-18T04:38:20Z</dcterms:created>
  <dcterms:modified xsi:type="dcterms:W3CDTF">2026-08-18T04:55:01Z</dcterms:modified>
</cp:coreProperties>
</file>